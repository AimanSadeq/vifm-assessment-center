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Model" state="visible" r:id="rId4"/>
    <sheet sheetId="2" name="Notes &amp; Assumptions" state="visible" r:id="rId5"/>
    <sheet sheetId="3" name="Operating Cost &amp; Margin" state="visible" r:id="rId6"/>
    <sheet sheetId="4" name="Portfolio (10 clients)" state="visible" r:id="rId7"/>
    <sheet sheetId="5" name="Year-1 Cash View" state="visible" r:id="rId8"/>
    <sheet sheetId="6" name="Engineering Roadmap" state="visible" r:id="rId9"/>
  </sheets>
  <calcPr calcId="171027"/>
</workbook>
</file>

<file path=xl/sharedStrings.xml><?xml version="1.0" encoding="utf-8"?>
<sst xmlns="http://schemas.openxmlformats.org/spreadsheetml/2006/main" count="343" uniqueCount="261">
  <si>
    <t>CALIBER  ·  LICENSING COST MODEL</t>
  </si>
  <si>
    <t>Editable model - change the highlighted (amber) input cells and every total recalculates. Benchmark-based estimate for planning, not a VIFM price quote.</t>
  </si>
  <si>
    <t>HEADLINE  -  3,000 EMPLOYEES, ALL 12 SERVICES</t>
  </si>
  <si>
    <t/>
  </si>
  <si>
    <t>Shared cloud</t>
  </si>
  <si>
    <t>Sovereign</t>
  </si>
  <si>
    <t>Annual recurring</t>
  </si>
  <si>
    <t>Year 1 (incl. one-time)</t>
  </si>
  <si>
    <t>3-year total (TCO)</t>
  </si>
  <si>
    <t>Price / employee / year</t>
  </si>
  <si>
    <t>INPUTS  -  edit the amber cells</t>
  </si>
  <si>
    <t>Employees</t>
  </si>
  <si>
    <t>Deployment tier</t>
  </si>
  <si>
    <t>Bundle discount %  (all-access vs a-la-carte)</t>
  </si>
  <si>
    <t>Support &amp; SLA  (% of licence)</t>
  </si>
  <si>
    <t>One-time implementation / professional services</t>
  </si>
  <si>
    <t>Sovereign one-time setup  (dedicated instance)</t>
  </si>
  <si>
    <t>Sovereign annual uplift  (instance + SLA)</t>
  </si>
  <si>
    <t>Term for TCO  (years)</t>
  </si>
  <si>
    <t>Multi-year discount  (years 2+)</t>
  </si>
  <si>
    <t>FX rate  (USD -&gt; display currency)</t>
  </si>
  <si>
    <t>USD</t>
  </si>
  <si>
    <t>set rate: SAR 3.75 / AED 3.67</t>
  </si>
  <si>
    <t>SERVICE ENGINE  -  annual volumes scale with headcount; edit any volume or unit price</t>
  </si>
  <si>
    <t>Service</t>
  </si>
  <si>
    <t>Basis</t>
  </si>
  <si>
    <t>Annual volume</t>
  </si>
  <si>
    <t>Unit price (USD)</t>
  </si>
  <si>
    <t>A-la-carte (USD)</t>
  </si>
  <si>
    <t>Persona (behavioural self-report)</t>
  </si>
  <si>
    <t>~per employee</t>
  </si>
  <si>
    <t>Logica (cognitive ability)</t>
  </si>
  <si>
    <t>selective</t>
  </si>
  <si>
    <t>Psychometrics (cognitive + personality)</t>
  </si>
  <si>
    <t>Fluent (English / CEFR)</t>
  </si>
  <si>
    <t>Techno (technical certification)</t>
  </si>
  <si>
    <t>technical roles</t>
  </si>
  <si>
    <t>Pre-Hire (screening)</t>
  </si>
  <si>
    <t>hiring volume</t>
  </si>
  <si>
    <t>Assessment Center (full AC)</t>
  </si>
  <si>
    <t>leaders / HiPo</t>
  </si>
  <si>
    <t>Reflect 360</t>
  </si>
  <si>
    <t>leaders</t>
  </si>
  <si>
    <t>AI Readiness Compass (org)</t>
  </si>
  <si>
    <t>per business unit</t>
  </si>
  <si>
    <t>Personal AI snapshot</t>
  </si>
  <si>
    <t>Academy (course completions)</t>
  </si>
  <si>
    <t>workforce</t>
  </si>
  <si>
    <t>Credentials (issued)</t>
  </si>
  <si>
    <t>outcomes</t>
  </si>
  <si>
    <t>Role Readiness (bespoke)</t>
  </si>
  <si>
    <t>succession / role moves</t>
  </si>
  <si>
    <t>A-la-carte total (retail, before bundling)</t>
  </si>
  <si>
    <t>OUTPUTS  -  selected tier (see Deployment tier above)</t>
  </si>
  <si>
    <t>Annual licence (platform + all-access usage)</t>
  </si>
  <si>
    <t>Annual support &amp; SLA</t>
  </si>
  <si>
    <t>Sovereign annual uplift</t>
  </si>
  <si>
    <t>Annual recurring total</t>
  </si>
  <si>
    <t>One-time implementation / PS</t>
  </si>
  <si>
    <t>Sovereign one-time setup</t>
  </si>
  <si>
    <t>Year 1 total (recurring + one-time)</t>
  </si>
  <si>
    <t>3-year (term) TCO</t>
  </si>
  <si>
    <t>Implied price / employee / year</t>
  </si>
  <si>
    <t>SCENARIO COMPARISON  -  both tiers, regardless of the toggle</t>
  </si>
  <si>
    <t>Metric</t>
  </si>
  <si>
    <t>3-year TCO</t>
  </si>
  <si>
    <t>In display currency (FX rate x annual recurring, shared / sovereign):</t>
  </si>
  <si>
    <t>CALIBER LICENSING COST MODEL - NOTES &amp; ASSUMPTIONS</t>
  </si>
  <si>
    <t>Purpose</t>
  </si>
  <si>
    <t>A planning model for pricing a Caliber platform licence to a client organisation that uses all 12 services. It is benchmark-based, not a VIFM price list (the platform has no published prices). Final pricing depends on VIFM strategy, margin target, region and the specific deal.</t>
  </si>
  <si>
    <t>How it works</t>
  </si>
  <si>
    <t>1) The SERVICE ENGINE estimates realistic annual volumes per service (scaled from headcount) x a unit price = an a-la-carte 'retail' value of the suite.</t>
  </si>
  <si>
    <t>2) A BUNDLE DISCOUNT converts that retail value into the committed annual all-access licence (the discount reflects both volume commitment and the reality that not everyone uses every service).</t>
  </si>
  <si>
    <t>3) Support &amp; SLA is added as a % of the licence. One-time professional services (onboarding, configuration, content/framework setup, training) are added in Year 1.</t>
  </si>
  <si>
    <t>4) The SOVEREIGN tier adds a one-time setup (dedicated in-country instance) and an annual instance/ops + sovereign-SLA uplift.</t>
  </si>
  <si>
    <t>Default assumptions (all editable)</t>
  </si>
  <si>
    <t>- 3,000 employees, all 12 services enabled, active adoption.</t>
  </si>
  <si>
    <t>- Bundle discount 63%, support 12% of licence, one-time PS USD 110,000.</t>
  </si>
  <si>
    <t>- Sovereign: +USD 90,000 one-time setup and +USD 90,000 / year.</t>
  </si>
  <si>
    <t>- Volumes are mid-case; the biggest swing factor is adoption intensity (light vs heavy can move the total 2-3x).</t>
  </si>
  <si>
    <t>Indicative results at defaults</t>
  </si>
  <si>
    <t>- Shared cloud: ~USD 327k / yr recurring, ~USD 437k Year 1, ~USD 1.09M over 3 years (~USD 109 / employee / yr).</t>
  </si>
  <si>
    <t>- Sovereign: ~USD 417k / yr recurring, ~USD 617k Year 1, ~USD 1.45M over 3 years (~USD 139 / employee / yr).</t>
  </si>
  <si>
    <t>Currency</t>
  </si>
  <si>
    <t>Base currency is USD. Set the FX cell on the model sheet to convert (SAR ~3.75, AED ~3.67). The display-currency echo multiplies annual recurring by the FX rate.</t>
  </si>
  <si>
    <t>Guardrail</t>
  </si>
  <si>
    <t>Per-unit prices are illustrative GCC enterprise mid-points. They are not VIFM's rate card. Treat every figure as a starting anchor for a commercial conversation.</t>
  </si>
  <si>
    <t>OPERATING COST &amp; MARGIN  -  per 3,000-member client</t>
  </si>
  <si>
    <t>Fixed cost does NOT move with usage; variable cost scales with the capacity slider. Claude figures are grounded in the platform's real per-assessment call counts and max_tokens.</t>
  </si>
  <si>
    <t>HEADLINE</t>
  </si>
  <si>
    <t>Fixed (annual)</t>
  </si>
  <si>
    <t>Variable (@ capacity)</t>
  </si>
  <si>
    <t>Total operating</t>
  </si>
  <si>
    <t>Margin</t>
  </si>
  <si>
    <t>Capacity / adoption %  (share of full-adoption volumes)</t>
  </si>
  <si>
    <t>Claude input price  (USD / M tokens)</t>
  </si>
  <si>
    <t>Claude output price  (USD / M tokens)</t>
  </si>
  <si>
    <t>Incremental infra per assessment  (storage / bandwidth / PDF)</t>
  </si>
  <si>
    <t>Speech per speaking test  (0 = browser default / free)</t>
  </si>
  <si>
    <t>One-off / setup AI per year  (course import, ARC reg, JD, Reflect setup)</t>
  </si>
  <si>
    <t>Deployment tier  (from Cost Model)</t>
  </si>
  <si>
    <t>VARIABLE  -  Claude API by service  (model: claude-sonnet-4-5;  $/unit = calls x tokens x price)</t>
  </si>
  <si>
    <t>Eff. volume</t>
  </si>
  <si>
    <t>Calls/unit</t>
  </si>
  <si>
    <t>In tok</t>
  </si>
  <si>
    <t>Out tok</t>
  </si>
  <si>
    <t>$/unit</t>
  </si>
  <si>
    <t>Annual $</t>
  </si>
  <si>
    <t>Persona  (report narrative)</t>
  </si>
  <si>
    <t>Logica  (cognitive)</t>
  </si>
  <si>
    <t>Psychometrics</t>
  </si>
  <si>
    <t>Fluent  (gen + writing + speaking)</t>
  </si>
  <si>
    <t>Techno  (indicative gen; bank = 0)</t>
  </si>
  <si>
    <t>Pre-Hire  (quiz + Fluent + CBI)</t>
  </si>
  <si>
    <t>Assessment Center  (report AI not wired)</t>
  </si>
  <si>
    <t>Reflect 360  (tips)</t>
  </si>
  <si>
    <t>AI Readiness Compass  (pathway)</t>
  </si>
  <si>
    <t>Academy  (~3 lesson checks)</t>
  </si>
  <si>
    <t>Credentials  (no AI)</t>
  </si>
  <si>
    <t>Role Readiness</t>
  </si>
  <si>
    <t>Claude API total (annual, at capacity)</t>
  </si>
  <si>
    <t>Speech transcription (Fluent + Pre-Hire speaking)</t>
  </si>
  <si>
    <t>Incremental infra (all assessments)</t>
  </si>
  <si>
    <t>One-off / setup AI (annual)</t>
  </si>
  <si>
    <t>VARIABLE TOTAL (annual, at capacity)</t>
  </si>
  <si>
    <t>FIXED COSTS  (annual - do not scale with usage)</t>
  </si>
  <si>
    <t>Hosting / infra  (Supabase + Render, allocated)</t>
  </si>
  <si>
    <t>Support + customer success  (allocated)</t>
  </si>
  <si>
    <t>Content / framework upkeep + platform eng</t>
  </si>
  <si>
    <t>Email (MS Graph) + misc SaaS</t>
  </si>
  <si>
    <t>Sovereign instance ops + compliance  (if sovereign)</t>
  </si>
  <si>
    <t>FIXED TOTAL (annual)</t>
  </si>
  <si>
    <t>SUMMARY  &amp;  MARGIN</t>
  </si>
  <si>
    <t>Total fixed (annual)</t>
  </si>
  <si>
    <t>Total variable (annual, at capacity)</t>
  </si>
  <si>
    <t>Total operating cost (annual)</t>
  </si>
  <si>
    <t>One-time onboarding / PS (Year 1)</t>
  </si>
  <si>
    <t>Active members (employees x capacity)</t>
  </si>
  <si>
    <t>Operating cost per active member</t>
  </si>
  <si>
    <t>Variable as % of operating cost</t>
  </si>
  <si>
    <t>Licence revenue (annual, selected tier)</t>
  </si>
  <si>
    <t>Gross profit (annual)</t>
  </si>
  <si>
    <t>Gross margin</t>
  </si>
  <si>
    <t>Key point: Caliber is a high-fixed, low-variable platform. The Claude API at this scale is a rounding error - utilization, not API price, drives unit economics.</t>
  </si>
  <si>
    <t>PORTFOLIO ECONOMICS  -  Caliber licensing at scale</t>
  </si>
  <si>
    <t>Realistic plan: 10 clients in 12 months (each ~3,000 members). Company fixed is right-sized for a lean ~10-client operation - it steps up as you scale past ~25. Revenue and per-client variable pull live from the other tabs.</t>
  </si>
  <si>
    <t>Clients</t>
  </si>
  <si>
    <t>Annual revenue</t>
  </si>
  <si>
    <t>Total cost</t>
  </si>
  <si>
    <t>Gross profit</t>
  </si>
  <si>
    <t>Number of clients</t>
  </si>
  <si>
    <t>% of clients on Sovereign tier</t>
  </si>
  <si>
    <t>Revenue / client - Shared (from Cost Model)</t>
  </si>
  <si>
    <t>Revenue / client - Sovereign (from Cost Model)</t>
  </si>
  <si>
    <t>Blended revenue / client</t>
  </si>
  <si>
    <t>Per-client variable / yr (from Operating tab, at capacity)</t>
  </si>
  <si>
    <t>One-time onboarding / client (from Cost Model)</t>
  </si>
  <si>
    <t>COMPANY-LEVEL FIXED  (shared across ALL clients, annual)</t>
  </si>
  <si>
    <t>Platform engineering (lean team / fractional)</t>
  </si>
  <si>
    <t>Content / framework upkeep (mostly built)</t>
  </si>
  <si>
    <t>Central infra / control plane / security</t>
  </si>
  <si>
    <t>G&amp;A + sales &amp; marketing (relationship sales)</t>
  </si>
  <si>
    <t>COMPANY FIXED TOTAL</t>
  </si>
  <si>
    <t>PER-CLIENT COST  (annual)</t>
  </si>
  <si>
    <t>Support + customer success / client</t>
  </si>
  <si>
    <t>Infra / client (blended shared vs sovereign)</t>
  </si>
  <si>
    <t>Variable / client (API + infra + setup)</t>
  </si>
  <si>
    <t>PER-CLIENT COST TOTAL</t>
  </si>
  <si>
    <t>x number of clients = client-level cost</t>
  </si>
  <si>
    <t>PORTFOLIO P&amp;L  (annual, steady state)</t>
  </si>
  <si>
    <t>Company fixed</t>
  </si>
  <si>
    <t>Client-level cost</t>
  </si>
  <si>
    <t>Revenue / client</t>
  </si>
  <si>
    <t>Fully-loaded cost / client</t>
  </si>
  <si>
    <t>Profit / client</t>
  </si>
  <si>
    <t>Year-1 onboarding (one-time, all clients)</t>
  </si>
  <si>
    <t>OPERATING LEVERAGE  -  margin grows as company fixed amortizes</t>
  </si>
  <si>
    <t>Notes: gross breakeven is ~2-3 clients; healthy margin (~72%) by 10. Excludes a one-time Year-1 platform-hardening investment (~$300-500k) to make the portal load-test-proven for 10 clients. This is the platform-LICENSING margin - hands-on delivery is a separate, lower-margin line. Company fixed steps up past ~25 clients.</t>
  </si>
  <si>
    <t>YEAR-1 CASH VIEW  -  10-client ramp</t>
  </si>
  <si>
    <t>Month-by-month cash as clients sign through the year, against operating cost + the one-time platform-hardening spend. Edit the amber rows (new clients/month, hardening/month).</t>
  </si>
  <si>
    <t>ASSUMPTIONS  (pulled from other tabs; amber = editable)</t>
  </si>
  <si>
    <t>Blended revenue / client / yr</t>
  </si>
  <si>
    <t>Onboarding fee / client (one-time)</t>
  </si>
  <si>
    <t>Per-client operating cost / yr</t>
  </si>
  <si>
    <t>Company fixed / yr</t>
  </si>
  <si>
    <t>Onboarding delivery cost (% of fee)</t>
  </si>
  <si>
    <t>MONTH-BY-MONTH  (USD)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</si>
  <si>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</si>
  <si>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</si>
  <si>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</si>
  <si>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</si>
  <si>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</si>
  <si>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</si>
  <si>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</si>
  <si>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</si>
  <si>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</si>
  <si>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</si>
  <si>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</si>
  <si>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</si>
  <si>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FY total</t>
  </si>
  <si>
    <t>New clients signed</t>
  </si>
  <si>
    <t>Cumulative clients</t>
  </si>
  <si>
    <t>Recurring revenue</t>
  </si>
  <si>
    <t>Onboarding fees (one-time)</t>
  </si>
  <si>
    <t>Total revenue</t>
  </si>
  <si>
    <t>Company fixed (1/12)</t>
  </si>
  <si>
    <t>Per-client operating</t>
  </si>
  <si>
    <t>Platform hardening (one-time)</t>
  </si>
  <si>
    <t>Onboarding delivery</t>
  </si>
  <si>
    <t>Net cash (month)</t>
  </si>
  <si>
    <t>Cumulative cash</t>
  </si>
  <si>
    <t>Read: Year-1 ends cash-positive even after the hardening spend - onboarding fees + ramping recurring outpace it. The Cumulative cash row shows the funding dip (max drawdown) before it turns positive; that dip is the working capital needed up front.</t>
  </si>
  <si>
    <t>ENGINEERING ROADMAP  -  10 clients in 12 months</t>
  </si>
  <si>
    <t>The hardening that makes Caliber a solid, load-test-proven portal for 10 clients. ~6-10 weeks of core work; client onboarding runs in parallel. Edit Status / Owner (amber).</t>
  </si>
  <si>
    <t>When</t>
  </si>
  <si>
    <t>Workstream</t>
  </si>
  <si>
    <t>What it fixes</t>
  </si>
  <si>
    <t>Effort</t>
  </si>
  <si>
    <t>Status</t>
  </si>
  <si>
    <t>Owner</t>
  </si>
  <si>
    <t>Q1</t>
  </si>
  <si>
    <t>Job queue + workers (AI gen/scoring, PDF, vision -&gt; async)</t>
  </si>
  <si>
    <t>Removes 4 of 5 critical bottlenecks; frees the event loop</t>
  </si>
  <si>
    <t>3-4 wks</t>
  </si>
  <si>
    <t>Not started</t>
  </si>
  <si>
    <t>Puppeteer browser pool + PDF caching</t>
  </si>
  <si>
    <t>Chromium OOM under concurrent PDFs</t>
  </si>
  <si>
    <t>1-2 wks</t>
  </si>
  <si>
    <t>Q1-Q2</t>
  </si>
  <si>
    <t>DB connection pooling (Supavisor) + batch N+1 + indexes</t>
  </si>
  <si>
    <t>Connection exhaustion at concurrency</t>
  </si>
  <si>
    <t>2 wks</t>
  </si>
  <si>
    <t>Q2</t>
  </si>
  <si>
    <t>Autoscale 2-4 web + 2 workers, health checks, CI/CD</t>
  </si>
  <si>
    <t>Single instance + manual deploy</t>
  </si>
  <si>
    <t>Monitoring + SLOs (Sentry / Datadog)</t>
  </si>
  <si>
    <t>No observability today</t>
  </si>
  <si>
    <t>1 wk</t>
  </si>
  <si>
    <t>GATE</t>
  </si>
  <si>
    <t>GATE: load test to a measured ceiling (before client 6)</t>
  </si>
  <si>
    <t>Converts estimates into a contractable SLA</t>
  </si>
  <si>
    <t>milestone</t>
  </si>
  <si>
    <t>Q3</t>
  </si>
  <si>
    <t>Retention crons (proctor snapshots, ARA materials)</t>
  </si>
  <si>
    <t>Unbounded storage growth</t>
  </si>
  <si>
    <t>Dedicated instance for the sovereign client</t>
  </si>
  <si>
    <t>Data residency / compliance</t>
  </si>
  <si>
    <t>Anthropic: higher tier + concurrency queue</t>
  </si>
  <si>
    <t>Shared rate-limit ceiling</t>
  </si>
  <si>
    <t>0.5 wk</t>
  </si>
  <si>
    <t>Q4</t>
  </si>
  <si>
    <t>DR: backups + failover + runbook</t>
  </si>
  <si>
    <t>Resilience / SLA</t>
  </si>
  <si>
    <t>NOT NEEDED FOR 10 CLIENTS  (defer until &gt;25 clients or data-residency demand)</t>
  </si>
  <si>
    <t>defer</t>
  </si>
  <si>
    <t>Tenant sharding / multi-instance fleet</t>
  </si>
  <si>
    <t>Only beyond ~25 clients</t>
  </si>
  <si>
    <t>Per-tenant API keys</t>
  </si>
  <si>
    <t>Single key + queue suffices at 10</t>
  </si>
  <si>
    <t>Read replicas</t>
  </si>
  <si>
    <t>Not needed at this concurrency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</si>
</sst>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"/>
    <numFmt numFmtId="165" formatCode="&quot;$&quot;#,##0.00"/>
    <numFmt numFmtId="166" formatCode="0.0"/>
    <numFmt numFmtId="167" formatCode="&quot;$&quot;#,##0.0000"/>
  </numFmts>
  <fonts count="2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b/>
      <color rgb="FFFFFFFF"/>
      <sz val="11"/>
      <name val="Calibri"/>
    </font>
    <font>
      <b/>
      <color rgb="FF010131"/>
      <name val="Calibri"/>
    </font>
    <font>
      <b/>
      <color rgb="FF010131"/>
      <sz val="13"/>
      <name val="Calibri"/>
    </font>
    <font>
      <b/>
      <color rgb="FF1A3A6B"/>
      <sz val="13"/>
      <name val="Calibri"/>
    </font>
    <font>
      <color rgb="FF010131"/>
      <name val="Calibri"/>
    </font>
    <font>
      <i/>
      <color rgb="FF64748B"/>
      <sz val="8"/>
      <name val="Calibri"/>
    </font>
    <font>
      <b/>
      <color rgb="FF010131"/>
      <sz val="9"/>
      <name val="Calibri"/>
    </font>
    <font>
      <color rgb="FF010131"/>
      <sz val="10"/>
      <name val="Calibri"/>
    </font>
    <font>
      <b/>
      <color rgb="FF010131"/>
      <sz val="12"/>
      <name val="Calibri"/>
    </font>
    <font>
      <color rgb="FF010131"/>
      <sz val="11"/>
      <name val="Calibri"/>
    </font>
    <font>
      <b/>
      <color rgb="FF1A3A6B"/>
      <name val="Calibri"/>
    </font>
    <font>
      <b/>
      <color rgb="FFFFFFFF"/>
      <sz val="14"/>
      <name val="Calibri"/>
    </font>
    <font>
      <b/>
      <color rgb="FF010131"/>
      <sz val="11"/>
      <name val="Calibri"/>
    </font>
    <font>
      <b/>
      <color rgb="FFFFFFFF"/>
      <sz val="15"/>
      <name val="Calibri"/>
    </font>
    <font>
      <i/>
      <color rgb="FF010131"/>
      <name val="Calibri"/>
    </font>
    <font>
      <b/>
      <color rgb="FF010131"/>
      <sz val="10"/>
      <name val="Calibri"/>
    </font>
    <font>
      <color rgb="FF64748B"/>
      <sz val="9"/>
      <name val="Calibri"/>
    </font>
    <font>
      <color rgb="FF010131"/>
      <sz val="9"/>
      <name val="Calibri"/>
    </font>
    <font>
      <b/>
      <color rgb="FFB45309"/>
      <sz val="9"/>
      <name val="Calibri"/>
    </font>
    <font>
      <b/>
      <color rgb="FFFFFFFF"/>
      <sz val="10"/>
      <name val="Calibri"/>
    </font>
    <font>
      <i/>
      <color rgb="FF94A3B8"/>
      <sz val="9"/>
      <name val="Calibri"/>
    </font>
    <font>
      <color rgb="FF64748B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10131"/>
      </patternFill>
    </fill>
    <fill>
      <patternFill patternType="solid">
        <fgColor rgb="FF1A3A6B"/>
      </patternFill>
    </fill>
    <fill>
      <patternFill patternType="solid">
        <fgColor rgb="FFD0DFF4"/>
      </patternFill>
    </fill>
    <fill>
      <patternFill patternType="solid">
        <fgColor rgb="FFEAF1FB"/>
      </patternFill>
    </fill>
    <fill>
      <patternFill patternType="solid">
        <fgColor rgb="FF5391D5"/>
      </patternFill>
    </fill>
    <fill>
      <patternFill patternType="solid">
        <fgColor rgb="FFFFF2C4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FCE8C2"/>
      </patternFill>
    </fill>
  </fills>
  <borders count="2">
    <border>
      <left/>
      <right/>
      <top/>
      <bottom/>
      <diagonal/>
    </border>
    <border>
      <left style="thin">
        <color rgb="FFC7D2E0"/>
      </left>
      <right style="thin">
        <color rgb="FFC7D2E0"/>
      </right>
      <top style="thin">
        <color rgb="FFC7D2E0"/>
      </top>
      <bottom style="thin">
        <color rgb="FFC7D2E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/>
    </xf>
    <xf numFmtId="0" fontId="4" fillId="4" borderId="1" xfId="0" applyFont="1" applyFill="1" applyBorder="1" applyAlignment="1">
      <alignment horizontal="center"/>
    </xf>
    <xf numFmtId="0" fontId="4" fillId="0" borderId="0" xfId="0" applyFont="1"/>
    <xf numFmtId="164" fontId="5" fillId="0" borderId="1" xfId="0" applyNumberFormat="1" applyFont="1" applyBorder="1" applyAlignment="1">
      <alignment horizontal="center"/>
    </xf>
    <xf numFmtId="164" fontId="6" fillId="5" borderId="1" xfId="0" applyNumberFormat="1" applyFont="1" applyFill="1" applyBorder="1" applyAlignment="1">
      <alignment horizontal="center"/>
    </xf>
    <xf numFmtId="0" fontId="3" fillId="6" borderId="0" xfId="0" applyFont="1" applyFill="1" applyAlignment="1">
      <alignment vertical="center"/>
    </xf>
    <xf numFmtId="0" fontId="7" fillId="0" borderId="0" xfId="0" applyFont="1"/>
    <xf numFmtId="3" fontId="4" fillId="7" borderId="1" xfId="0" applyNumberFormat="1" applyFont="1" applyFill="1" applyBorder="1" applyAlignment="1">
      <alignment horizontal="right"/>
    </xf>
    <xf numFmtId="0" fontId="4" fillId="7" borderId="1" xfId="0" applyFont="1" applyFill="1" applyBorder="1" applyAlignment="1">
      <alignment horizontal="center"/>
    </xf>
    <xf numFmtId="9" fontId="4" fillId="7" borderId="1" xfId="0" applyNumberFormat="1" applyFont="1" applyFill="1" applyBorder="1" applyAlignment="1">
      <alignment horizontal="right"/>
    </xf>
    <xf numFmtId="164" fontId="4" fillId="7" borderId="1" xfId="0" applyNumberFormat="1" applyFont="1" applyFill="1" applyBorder="1" applyAlignment="1">
      <alignment horizontal="right"/>
    </xf>
    <xf numFmtId="1" fontId="4" fillId="7" borderId="1" xfId="0" applyNumberFormat="1" applyFont="1" applyFill="1" applyBorder="1" applyAlignment="1">
      <alignment horizontal="right"/>
    </xf>
    <xf numFmtId="2" fontId="4" fillId="7" borderId="1" xfId="0" applyNumberFormat="1" applyFont="1" applyFill="1" applyBorder="1" applyAlignment="1">
      <alignment horizontal="right"/>
    </xf>
    <xf numFmtId="0" fontId="8" fillId="0" borderId="0" xfId="0" applyFont="1"/>
    <xf numFmtId="0" fontId="9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right"/>
    </xf>
    <xf numFmtId="0" fontId="10" fillId="8" borderId="1" xfId="0" applyFont="1" applyFill="1" applyBorder="1"/>
    <xf numFmtId="0" fontId="2" fillId="8" borderId="1" xfId="0" applyFont="1" applyFill="1" applyBorder="1"/>
    <xf numFmtId="3" fontId="0" fillId="8" borderId="1" xfId="0" applyNumberFormat="1" applyFill="1" applyBorder="1" applyAlignment="1">
      <alignment horizontal="right"/>
    </xf>
    <xf numFmtId="164" fontId="7" fillId="7" borderId="1" xfId="0" applyNumberFormat="1" applyFont="1" applyFill="1" applyBorder="1" applyAlignment="1">
      <alignment horizontal="right"/>
    </xf>
    <xf numFmtId="164" fontId="4" fillId="8" borderId="1" xfId="0" applyNumberFormat="1" applyFont="1" applyFill="1" applyBorder="1" applyAlignment="1">
      <alignment horizontal="right"/>
    </xf>
    <xf numFmtId="0" fontId="10" fillId="9" borderId="1" xfId="0" applyFont="1" applyFill="1" applyBorder="1"/>
    <xf numFmtId="0" fontId="2" fillId="9" borderId="1" xfId="0" applyFont="1" applyFill="1" applyBorder="1"/>
    <xf numFmtId="3" fontId="0" fillId="9" borderId="1" xfId="0" applyNumberFormat="1" applyFill="1" applyBorder="1" applyAlignment="1">
      <alignment horizontal="right"/>
    </xf>
    <xf numFmtId="164" fontId="4" fillId="9" borderId="1" xfId="0" applyNumberFormat="1" applyFont="1" applyFill="1" applyBorder="1" applyAlignment="1">
      <alignment horizontal="right"/>
    </xf>
    <xf numFmtId="0" fontId="4" fillId="5" borderId="1" xfId="0" applyFont="1" applyFill="1" applyBorder="1"/>
    <xf numFmtId="0" fontId="0" fillId="5" borderId="1" xfId="0" applyFill="1" applyBorder="1"/>
    <xf numFmtId="164" fontId="11" fillId="5" borderId="1" xfId="0" applyNumberFormat="1" applyFont="1" applyFill="1" applyBorder="1" applyAlignment="1">
      <alignment horizontal="right"/>
    </xf>
    <xf numFmtId="164" fontId="12" fillId="0" borderId="1" xfId="0" applyNumberFormat="1" applyFont="1" applyBorder="1" applyAlignment="1">
      <alignment horizontal="right"/>
    </xf>
    <xf numFmtId="0" fontId="4" fillId="5" borderId="0" xfId="0" applyFont="1" applyFill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7" fillId="0" borderId="1" xfId="0" applyFont="1" applyBorder="1"/>
    <xf numFmtId="164" fontId="4" fillId="0" borderId="1" xfId="0" applyNumberFormat="1" applyFont="1" applyBorder="1" applyAlignment="1">
      <alignment horizontal="right"/>
    </xf>
    <xf numFmtId="164" fontId="13" fillId="5" borderId="1" xfId="0" applyNumberFormat="1" applyFont="1" applyFill="1" applyBorder="1" applyAlignment="1">
      <alignment horizontal="right"/>
    </xf>
    <xf numFmtId="0" fontId="2" fillId="0" borderId="0" xfId="0" applyFont="1"/>
    <xf numFmtId="3" fontId="4" fillId="0" borderId="1" xfId="0" applyNumberFormat="1" applyFont="1" applyBorder="1" applyAlignment="1">
      <alignment horizontal="right"/>
    </xf>
    <xf numFmtId="3" fontId="13" fillId="5" borderId="1" xfId="0" applyNumberFormat="1" applyFont="1" applyFill="1" applyBorder="1" applyAlignment="1">
      <alignment horizontal="right"/>
    </xf>
    <xf numFmtId="0" fontId="14" fillId="2" borderId="0" xfId="0" applyFont="1" applyFill="1" applyAlignment="1">
      <alignment vertical="top" wrapText="1"/>
    </xf>
    <xf numFmtId="0" fontId="15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6" fillId="2" borderId="0" xfId="0" applyFont="1" applyFill="1" applyAlignment="1">
      <alignment vertical="center"/>
    </xf>
    <xf numFmtId="9" fontId="6" fillId="5" borderId="1" xfId="0" applyNumberFormat="1" applyFont="1" applyFill="1" applyBorder="1" applyAlignment="1">
      <alignment horizontal="center"/>
    </xf>
    <xf numFmtId="165" fontId="4" fillId="7" borderId="1" xfId="0" applyNumberFormat="1" applyFont="1" applyFill="1" applyBorder="1" applyAlignment="1">
      <alignment horizontal="right"/>
    </xf>
    <xf numFmtId="0" fontId="17" fillId="9" borderId="1" xfId="0" applyFont="1" applyFill="1" applyBorder="1" applyAlignment="1">
      <alignment horizontal="center"/>
    </xf>
    <xf numFmtId="166" fontId="7" fillId="7" borderId="1" xfId="0" applyNumberFormat="1" applyFont="1" applyFill="1" applyBorder="1" applyAlignment="1">
      <alignment horizontal="right"/>
    </xf>
    <xf numFmtId="3" fontId="7" fillId="7" borderId="1" xfId="0" applyNumberFormat="1" applyFont="1" applyFill="1" applyBorder="1" applyAlignment="1">
      <alignment horizontal="right"/>
    </xf>
    <xf numFmtId="167" fontId="0" fillId="8" borderId="1" xfId="0" applyNumberFormat="1" applyFill="1" applyBorder="1" applyAlignment="1">
      <alignment horizontal="right"/>
    </xf>
    <xf numFmtId="167" fontId="0" fillId="9" borderId="1" xfId="0" applyNumberFormat="1" applyFill="1" applyBorder="1" applyAlignment="1">
      <alignment horizontal="right"/>
    </xf>
    <xf numFmtId="0" fontId="0" fillId="0" borderId="1" xfId="0" applyBorder="1"/>
    <xf numFmtId="164" fontId="15" fillId="0" borderId="1" xfId="0" applyNumberFormat="1" applyFont="1" applyBorder="1" applyAlignment="1">
      <alignment horizontal="right"/>
    </xf>
    <xf numFmtId="164" fontId="7" fillId="9" borderId="1" xfId="0" applyNumberFormat="1" applyFont="1" applyFill="1" applyBorder="1" applyAlignment="1">
      <alignment horizontal="right"/>
    </xf>
    <xf numFmtId="3" fontId="12" fillId="0" borderId="1" xfId="0" applyNumberFormat="1" applyFont="1" applyBorder="1" applyAlignment="1">
      <alignment horizontal="right"/>
    </xf>
    <xf numFmtId="165" fontId="12" fillId="0" borderId="1" xfId="0" applyNumberFormat="1" applyFont="1" applyBorder="1" applyAlignment="1">
      <alignment horizontal="right"/>
    </xf>
    <xf numFmtId="9" fontId="11" fillId="5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3" fontId="5" fillId="0" borderId="1" xfId="0" applyNumberFormat="1" applyFont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64" fontId="17" fillId="9" borderId="1" xfId="0" applyNumberFormat="1" applyFont="1" applyFill="1" applyBorder="1" applyAlignment="1">
      <alignment horizontal="right"/>
    </xf>
    <xf numFmtId="164" fontId="4" fillId="5" borderId="1" xfId="0" applyNumberFormat="1" applyFont="1" applyFill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0" fontId="18" fillId="4" borderId="1" xfId="0" applyFont="1" applyFill="1" applyBorder="1" applyAlignment="1">
      <alignment horizontal="center"/>
    </xf>
    <xf numFmtId="9" fontId="4" fillId="5" borderId="1" xfId="0" applyNumberFormat="1" applyFont="1" applyFill="1" applyBorder="1" applyAlignment="1">
      <alignment horizontal="right"/>
    </xf>
    <xf numFmtId="0" fontId="9" fillId="9" borderId="1" xfId="0" applyFont="1" applyFill="1" applyBorder="1" applyAlignment="1">
      <alignment horizontal="left"/>
    </xf>
    <xf numFmtId="0" fontId="19" fillId="9" borderId="1" xfId="0" applyFont="1" applyFill="1" applyBorder="1" applyAlignment="1">
      <alignment vertical="center" wrapText="1"/>
    </xf>
    <xf numFmtId="0" fontId="20" fillId="9" borderId="1" xfId="0" applyFont="1" applyFill="1" applyBorder="1" applyAlignment="1">
      <alignment horizontal="left"/>
    </xf>
    <xf numFmtId="0" fontId="20" fillId="7" borderId="1" xfId="0" applyFont="1" applyFill="1" applyBorder="1" applyAlignment="1">
      <alignment horizontal="left"/>
    </xf>
    <xf numFmtId="0" fontId="0" fillId="7" borderId="1" xfId="0" applyFill="1" applyBorder="1"/>
    <xf numFmtId="0" fontId="9" fillId="8" borderId="1" xfId="0" applyFont="1" applyFill="1" applyBorder="1" applyAlignment="1">
      <alignment horizontal="left"/>
    </xf>
    <xf numFmtId="0" fontId="19" fillId="8" borderId="1" xfId="0" applyFont="1" applyFill="1" applyBorder="1" applyAlignment="1">
      <alignment vertical="center" wrapText="1"/>
    </xf>
    <xf numFmtId="0" fontId="20" fillId="8" borderId="1" xfId="0" applyFont="1" applyFill="1" applyBorder="1" applyAlignment="1">
      <alignment horizontal="left"/>
    </xf>
    <xf numFmtId="0" fontId="21" fillId="10" borderId="1" xfId="0" applyFont="1" applyFill="1" applyBorder="1" applyAlignment="1">
      <alignment horizontal="left"/>
    </xf>
    <xf numFmtId="0" fontId="18" fillId="10" borderId="1" xfId="0" applyFont="1" applyFill="1" applyBorder="1"/>
    <xf numFmtId="0" fontId="19" fillId="10" borderId="1" xfId="0" applyFont="1" applyFill="1" applyBorder="1" applyAlignment="1">
      <alignment vertical="center" wrapText="1"/>
    </xf>
    <xf numFmtId="0" fontId="20" fillId="10" borderId="1" xfId="0" applyFont="1" applyFill="1" applyBorder="1" applyAlignment="1">
      <alignment horizontal="left"/>
    </xf>
    <xf numFmtId="0" fontId="22" fillId="3" borderId="0" xfId="0" applyFont="1" applyFill="1" applyAlignment="1">
      <alignment vertical="center"/>
    </xf>
    <xf numFmtId="0" fontId="23" fillId="0" borderId="1" xfId="0" applyFont="1" applyBorder="1"/>
    <xf numFmtId="0" fontId="2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7" customWidth="1"/>
    <col min="6" max="6" width="4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1</v>
      </c>
      <c r="B2" s="2"/>
      <c r="C2" s="2"/>
      <c r="D2" s="2"/>
      <c r="E2" s="2"/>
    </row>
    <row r="4" ht="20" customHeight="1" spans="1:5" x14ac:dyDescent="0.25">
      <c r="A4" s="3" t="s">
        <v>2</v>
      </c>
      <c r="B4" s="3"/>
      <c r="C4" s="3"/>
      <c r="D4" s="3"/>
      <c r="E4" s="3"/>
    </row>
    <row r="5" spans="1:3" x14ac:dyDescent="0.25">
      <c r="A5" t="s">
        <v>3</v>
      </c>
      <c r="B5" s="4" t="s">
        <v>4</v>
      </c>
      <c r="C5" s="4" t="s">
        <v>5</v>
      </c>
    </row>
    <row r="6" ht="20" customHeight="1" spans="1:3" x14ac:dyDescent="0.25">
      <c r="A6" s="5" t="s">
        <v>6</v>
      </c>
      <c r="B6" s="6">
        <f>B52</f>
      </c>
      <c r="C6" s="7">
        <f>C52</f>
      </c>
    </row>
    <row r="7" ht="20" customHeight="1" spans="1:3" x14ac:dyDescent="0.25">
      <c r="A7" s="5" t="s">
        <v>7</v>
      </c>
      <c r="B7" s="6">
        <f>B53</f>
      </c>
      <c r="C7" s="7">
        <f>C53</f>
      </c>
    </row>
    <row r="8" ht="20" customHeight="1" spans="1:3" x14ac:dyDescent="0.25">
      <c r="A8" s="5" t="s">
        <v>8</v>
      </c>
      <c r="B8" s="6">
        <f>B54</f>
      </c>
      <c r="C8" s="7">
        <f>C54</f>
      </c>
    </row>
    <row r="9" ht="20" customHeight="1" spans="1:3" x14ac:dyDescent="0.25">
      <c r="A9" s="5" t="s">
        <v>9</v>
      </c>
      <c r="B9" s="6">
        <f>B55</f>
      </c>
      <c r="C9" s="7">
        <f>C55</f>
      </c>
    </row>
    <row r="11" ht="18" customHeight="1" spans="1:5" x14ac:dyDescent="0.25">
      <c r="A11" s="8" t="s">
        <v>10</v>
      </c>
      <c r="B11" s="8"/>
      <c r="C11" s="8"/>
      <c r="D11" s="8"/>
      <c r="E11" s="8"/>
    </row>
    <row r="12" spans="1:2" x14ac:dyDescent="0.25">
      <c r="A12" s="9" t="s">
        <v>11</v>
      </c>
      <c r="B12" s="10">
        <v>3000</v>
      </c>
    </row>
    <row r="13" spans="1:2" x14ac:dyDescent="0.25">
      <c r="A13" s="9" t="s">
        <v>12</v>
      </c>
      <c r="B13" s="11" t="s">
        <v>4</v>
      </c>
    </row>
    <row r="14" spans="1:2" x14ac:dyDescent="0.25">
      <c r="A14" s="9" t="s">
        <v>13</v>
      </c>
      <c r="B14" s="12">
        <v>0.63</v>
      </c>
    </row>
    <row r="15" spans="1:2" x14ac:dyDescent="0.25">
      <c r="A15" s="9" t="s">
        <v>14</v>
      </c>
      <c r="B15" s="12">
        <v>0.12</v>
      </c>
    </row>
    <row r="16" spans="1:2" x14ac:dyDescent="0.25">
      <c r="A16" s="9" t="s">
        <v>15</v>
      </c>
      <c r="B16" s="13">
        <v>110000</v>
      </c>
    </row>
    <row r="17" spans="1:2" x14ac:dyDescent="0.25">
      <c r="A17" s="9" t="s">
        <v>16</v>
      </c>
      <c r="B17" s="13">
        <v>90000</v>
      </c>
    </row>
    <row r="18" spans="1:2" x14ac:dyDescent="0.25">
      <c r="A18" s="9" t="s">
        <v>17</v>
      </c>
      <c r="B18" s="13">
        <v>90000</v>
      </c>
    </row>
    <row r="19" spans="1:2" x14ac:dyDescent="0.25">
      <c r="A19" s="9" t="s">
        <v>18</v>
      </c>
      <c r="B19" s="14">
        <v>3</v>
      </c>
    </row>
    <row r="20" spans="1:2" x14ac:dyDescent="0.25">
      <c r="A20" s="9" t="s">
        <v>19</v>
      </c>
      <c r="B20" s="12">
        <v>0</v>
      </c>
    </row>
    <row r="21" spans="1:4" x14ac:dyDescent="0.25">
      <c r="A21" s="9" t="s">
        <v>20</v>
      </c>
      <c r="B21" s="15">
        <v>1</v>
      </c>
      <c r="C21" s="11" t="s">
        <v>21</v>
      </c>
      <c r="D21" s="16" t="s">
        <v>22</v>
      </c>
    </row>
    <row r="23" ht="18" customHeight="1" spans="1:5" x14ac:dyDescent="0.25">
      <c r="A23" s="8" t="s">
        <v>23</v>
      </c>
      <c r="B23" s="8"/>
      <c r="C23" s="8"/>
      <c r="D23" s="8"/>
      <c r="E23" s="8"/>
    </row>
    <row r="24" spans="1:5" x14ac:dyDescent="0.25">
      <c r="A24" s="17" t="s">
        <v>24</v>
      </c>
      <c r="B24" s="17" t="s">
        <v>25</v>
      </c>
      <c r="C24" s="18" t="s">
        <v>26</v>
      </c>
      <c r="D24" s="18" t="s">
        <v>27</v>
      </c>
      <c r="E24" s="18" t="s">
        <v>28</v>
      </c>
    </row>
    <row r="25" spans="1:5" x14ac:dyDescent="0.25">
      <c r="A25" s="19" t="s">
        <v>29</v>
      </c>
      <c r="B25" s="20" t="s">
        <v>30</v>
      </c>
      <c r="C25" s="21">
        <f>ROUND($B$12*0.8333,0)</f>
      </c>
      <c r="D25" s="22">
        <v>30</v>
      </c>
      <c r="E25" s="23">
        <f>C25*D25</f>
      </c>
    </row>
    <row r="26" spans="1:5" x14ac:dyDescent="0.25">
      <c r="A26" s="24" t="s">
        <v>31</v>
      </c>
      <c r="B26" s="25" t="s">
        <v>32</v>
      </c>
      <c r="C26" s="26">
        <f>ROUND($B$12*0.5,0)</f>
      </c>
      <c r="D26" s="22">
        <v>30</v>
      </c>
      <c r="E26" s="27">
        <f>C26*D26</f>
      </c>
    </row>
    <row r="27" spans="1:5" x14ac:dyDescent="0.25">
      <c r="A27" s="19" t="s">
        <v>33</v>
      </c>
      <c r="B27" s="20" t="s">
        <v>32</v>
      </c>
      <c r="C27" s="21">
        <f>ROUND($B$12*0.5,0)</f>
      </c>
      <c r="D27" s="22">
        <v>30</v>
      </c>
      <c r="E27" s="23">
        <f>C27*D27</f>
      </c>
    </row>
    <row r="28" spans="1:5" x14ac:dyDescent="0.25">
      <c r="A28" s="24" t="s">
        <v>34</v>
      </c>
      <c r="B28" s="25" t="s">
        <v>32</v>
      </c>
      <c r="C28" s="26">
        <f>ROUND($B$12*0.4,0)</f>
      </c>
      <c r="D28" s="22">
        <v>40</v>
      </c>
      <c r="E28" s="27">
        <f>C28*D28</f>
      </c>
    </row>
    <row r="29" spans="1:5" x14ac:dyDescent="0.25">
      <c r="A29" s="19" t="s">
        <v>35</v>
      </c>
      <c r="B29" s="20" t="s">
        <v>36</v>
      </c>
      <c r="C29" s="21">
        <f>ROUND($B$12*0.4,0)</f>
      </c>
      <c r="D29" s="22">
        <v>90</v>
      </c>
      <c r="E29" s="23">
        <f>C29*D29</f>
      </c>
    </row>
    <row r="30" spans="1:5" x14ac:dyDescent="0.25">
      <c r="A30" s="24" t="s">
        <v>37</v>
      </c>
      <c r="B30" s="25" t="s">
        <v>38</v>
      </c>
      <c r="C30" s="26">
        <f>ROUND($B$12*0.3,0)</f>
      </c>
      <c r="D30" s="22">
        <v>60</v>
      </c>
      <c r="E30" s="27">
        <f>C30*D30</f>
      </c>
    </row>
    <row r="31" spans="1:5" x14ac:dyDescent="0.25">
      <c r="A31" s="19" t="s">
        <v>39</v>
      </c>
      <c r="B31" s="20" t="s">
        <v>40</v>
      </c>
      <c r="C31" s="21">
        <f>ROUND($B$12*0.0667,0)</f>
      </c>
      <c r="D31" s="22">
        <v>600</v>
      </c>
      <c r="E31" s="23">
        <f>C31*D31</f>
      </c>
    </row>
    <row r="32" spans="1:5" x14ac:dyDescent="0.25">
      <c r="A32" s="24" t="s">
        <v>41</v>
      </c>
      <c r="B32" s="25" t="s">
        <v>42</v>
      </c>
      <c r="C32" s="26">
        <f>ROUND($B$12*0.0833,0)</f>
      </c>
      <c r="D32" s="22">
        <v>180</v>
      </c>
      <c r="E32" s="27">
        <f>C32*D32</f>
      </c>
    </row>
    <row r="33" spans="1:5" x14ac:dyDescent="0.25">
      <c r="A33" s="19" t="s">
        <v>43</v>
      </c>
      <c r="B33" s="20" t="s">
        <v>44</v>
      </c>
      <c r="C33" s="21">
        <f>ROUND($B$12/300,0)</f>
      </c>
      <c r="D33" s="22">
        <v>6000</v>
      </c>
      <c r="E33" s="23">
        <f>C33*D33</f>
      </c>
    </row>
    <row r="34" spans="1:5" x14ac:dyDescent="0.25">
      <c r="A34" s="24" t="s">
        <v>45</v>
      </c>
      <c r="B34" s="25" t="s">
        <v>32</v>
      </c>
      <c r="C34" s="26">
        <f>ROUND($B$12*0.5,0)</f>
      </c>
      <c r="D34" s="22">
        <v>10</v>
      </c>
      <c r="E34" s="27">
        <f>C34*D34</f>
      </c>
    </row>
    <row r="35" spans="1:5" x14ac:dyDescent="0.25">
      <c r="A35" s="19" t="s">
        <v>46</v>
      </c>
      <c r="B35" s="20" t="s">
        <v>47</v>
      </c>
      <c r="C35" s="21">
        <f>ROUND($B$12*1,0)</f>
      </c>
      <c r="D35" s="22">
        <v>35</v>
      </c>
      <c r="E35" s="23">
        <f>C35*D35</f>
      </c>
    </row>
    <row r="36" spans="1:5" x14ac:dyDescent="0.25">
      <c r="A36" s="24" t="s">
        <v>48</v>
      </c>
      <c r="B36" s="25" t="s">
        <v>49</v>
      </c>
      <c r="C36" s="26">
        <f>ROUND($B$12*1.3333,0)</f>
      </c>
      <c r="D36" s="22">
        <v>8</v>
      </c>
      <c r="E36" s="27">
        <f>C36*D36</f>
      </c>
    </row>
    <row r="37" spans="1:5" x14ac:dyDescent="0.25">
      <c r="A37" s="19" t="s">
        <v>50</v>
      </c>
      <c r="B37" s="20" t="s">
        <v>51</v>
      </c>
      <c r="C37" s="21">
        <f>ROUND($B$12*0.1,0)</f>
      </c>
      <c r="D37" s="22">
        <v>120</v>
      </c>
      <c r="E37" s="23">
        <f>C37*D37</f>
      </c>
    </row>
    <row r="38" spans="1:5" x14ac:dyDescent="0.25">
      <c r="A38" s="28" t="s">
        <v>52</v>
      </c>
      <c r="B38" s="29" t="s">
        <v>3</v>
      </c>
      <c r="C38" s="29" t="s">
        <v>3</v>
      </c>
      <c r="D38" s="29" t="s">
        <v>3</v>
      </c>
      <c r="E38" s="30">
        <f>SUM(E25:E37)</f>
      </c>
    </row>
    <row r="40" ht="18" customHeight="1" spans="1:5" x14ac:dyDescent="0.25">
      <c r="A40" s="3" t="s">
        <v>53</v>
      </c>
      <c r="B40" s="3"/>
      <c r="C40" s="3"/>
      <c r="D40" s="3"/>
      <c r="E40" s="3"/>
    </row>
    <row r="41" spans="1:2" x14ac:dyDescent="0.25">
      <c r="A41" s="9" t="s">
        <v>54</v>
      </c>
      <c r="B41" s="31">
        <f>E38*(1-$B$14)</f>
      </c>
    </row>
    <row r="42" spans="1:2" x14ac:dyDescent="0.25">
      <c r="A42" s="9" t="s">
        <v>55</v>
      </c>
      <c r="B42" s="31">
        <f>B41*$B$15</f>
      </c>
    </row>
    <row r="43" spans="1:2" x14ac:dyDescent="0.25">
      <c r="A43" s="9" t="s">
        <v>56</v>
      </c>
      <c r="B43" s="31">
        <f>IF($B$13="Sovereign",$B$18,0)</f>
      </c>
    </row>
    <row r="44" spans="1:2" x14ac:dyDescent="0.25">
      <c r="A44" s="32" t="s">
        <v>57</v>
      </c>
      <c r="B44" s="30">
        <f>B41+B42+B43</f>
      </c>
    </row>
    <row r="45" spans="1:2" x14ac:dyDescent="0.25">
      <c r="A45" s="9" t="s">
        <v>58</v>
      </c>
      <c r="B45" s="31">
        <f>$B$16</f>
      </c>
    </row>
    <row r="46" spans="1:2" x14ac:dyDescent="0.25">
      <c r="A46" s="9" t="s">
        <v>59</v>
      </c>
      <c r="B46" s="31">
        <f>IF($B$13="Sovereign",$B$17,0)</f>
      </c>
    </row>
    <row r="47" spans="1:2" x14ac:dyDescent="0.25">
      <c r="A47" s="32" t="s">
        <v>60</v>
      </c>
      <c r="B47" s="30">
        <f>B44+B45+B46</f>
      </c>
    </row>
    <row r="48" spans="1:2" x14ac:dyDescent="0.25">
      <c r="A48" s="32" t="s">
        <v>61</v>
      </c>
      <c r="B48" s="30">
        <f>B47+($B$19-1)*B44*(1-$B$20)</f>
      </c>
    </row>
    <row r="49" spans="1:2" x14ac:dyDescent="0.25">
      <c r="A49" s="32" t="s">
        <v>62</v>
      </c>
      <c r="B49" s="30">
        <f>B44/$B$12</f>
      </c>
    </row>
    <row r="50" ht="18" customHeight="1" spans="1:5" x14ac:dyDescent="0.25">
      <c r="A50" s="8" t="s">
        <v>63</v>
      </c>
      <c r="B50" s="8"/>
      <c r="C50" s="8"/>
      <c r="D50" s="8"/>
      <c r="E50" s="8"/>
    </row>
    <row r="51" spans="1:3" x14ac:dyDescent="0.25">
      <c r="A51" s="33" t="s">
        <v>64</v>
      </c>
      <c r="B51" s="34" t="s">
        <v>4</v>
      </c>
      <c r="C51" s="34" t="s">
        <v>5</v>
      </c>
    </row>
    <row r="52" spans="1:3" x14ac:dyDescent="0.25">
      <c r="A52" s="35" t="s">
        <v>6</v>
      </c>
      <c r="B52" s="36">
        <f>E38*(1-$B$14)*(1+$B$15)</f>
      </c>
      <c r="C52" s="37">
        <f>E38*(1-$B$14)*(1+$B$15)+$B$18</f>
      </c>
    </row>
    <row r="53" spans="1:3" x14ac:dyDescent="0.25">
      <c r="A53" s="35" t="s">
        <v>7</v>
      </c>
      <c r="B53" s="36">
        <f>B52+$B$16</f>
      </c>
      <c r="C53" s="37">
        <f>C52+$B$16+$B$17</f>
      </c>
    </row>
    <row r="54" spans="1:3" x14ac:dyDescent="0.25">
      <c r="A54" s="35" t="s">
        <v>65</v>
      </c>
      <c r="B54" s="36">
        <f>B53+($B$19-1)*B52*(1-$B$20)</f>
      </c>
      <c r="C54" s="37">
        <f>C53+($B$19-1)*C52*(1-$B$20)</f>
      </c>
    </row>
    <row r="55" spans="1:3" x14ac:dyDescent="0.25">
      <c r="A55" s="35" t="s">
        <v>9</v>
      </c>
      <c r="B55" s="36">
        <f>B52/$B$12</f>
      </c>
      <c r="C55" s="37">
        <f>C52/$B$12</f>
      </c>
    </row>
    <row r="58" spans="1:1" x14ac:dyDescent="0.25">
      <c r="A58" s="38" t="s">
        <v>66</v>
      </c>
    </row>
    <row r="59" spans="2:4" x14ac:dyDescent="0.25">
      <c r="B59" s="39">
        <f>B52*$B$21</f>
      </c>
      <c r="C59" s="40">
        <f>C52*$B$21</f>
      </c>
      <c r="D59" s="38">
        <f>C21</f>
      </c>
    </row>
  </sheetData>
  <mergeCells count="7">
    <mergeCell ref="A1:E1"/>
    <mergeCell ref="A2:E2"/>
    <mergeCell ref="A4:E4"/>
    <mergeCell ref="A11:E11"/>
    <mergeCell ref="A23:E23"/>
    <mergeCell ref="A40:E40"/>
    <mergeCell ref="A50:E50"/>
  </mergeCells>
  <dataValidations count="1">
    <dataValidation type="list" sqref="B13">
      <formula1>"Shared cloud,Sovereign"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 showGridLines="0"/>
  </sheetViews>
  <sheetFormatPr defaultRowHeight="15" outlineLevelRow="0" outlineLevelCol="0" x14ac:dyDescent="55"/>
  <cols>
    <col min="1" max="1" width="110" customWidth="1"/>
  </cols>
  <sheetData>
    <row r="1" ht="26" customHeight="1" spans="1:1" x14ac:dyDescent="0.25">
      <c r="A1" s="41" t="s">
        <v>67</v>
      </c>
    </row>
    <row r="3" ht="15" customHeight="1" spans="1:1" x14ac:dyDescent="0.25">
      <c r="A3" s="42" t="s">
        <v>68</v>
      </c>
    </row>
    <row r="4" ht="42" customHeight="1" spans="1:1" x14ac:dyDescent="0.25">
      <c r="A4" s="43" t="s">
        <v>69</v>
      </c>
    </row>
    <row r="6" ht="15" customHeight="1" spans="1:1" x14ac:dyDescent="0.25">
      <c r="A6" s="42" t="s">
        <v>70</v>
      </c>
    </row>
    <row r="7" ht="28" customHeight="1" spans="1:1" x14ac:dyDescent="0.25">
      <c r="A7" s="43" t="s">
        <v>71</v>
      </c>
    </row>
    <row r="8" ht="28" customHeight="1" spans="1:1" x14ac:dyDescent="0.25">
      <c r="A8" s="43" t="s">
        <v>72</v>
      </c>
    </row>
    <row r="9" ht="28" customHeight="1" spans="1:1" x14ac:dyDescent="0.25">
      <c r="A9" s="43" t="s">
        <v>73</v>
      </c>
    </row>
    <row r="10" ht="28" customHeight="1" spans="1:1" x14ac:dyDescent="0.25">
      <c r="A10" s="43" t="s">
        <v>74</v>
      </c>
    </row>
    <row r="12" ht="15" customHeight="1" spans="1:1" x14ac:dyDescent="0.25">
      <c r="A12" s="42" t="s">
        <v>75</v>
      </c>
    </row>
    <row r="13" ht="15" customHeight="1" spans="1:1" x14ac:dyDescent="0.25">
      <c r="A13" s="43" t="s">
        <v>76</v>
      </c>
    </row>
    <row r="14" ht="15" customHeight="1" spans="1:1" x14ac:dyDescent="0.25">
      <c r="A14" s="43" t="s">
        <v>77</v>
      </c>
    </row>
    <row r="15" ht="15" customHeight="1" spans="1:1" x14ac:dyDescent="0.25">
      <c r="A15" s="43" t="s">
        <v>78</v>
      </c>
    </row>
    <row r="16" ht="28" customHeight="1" spans="1:1" x14ac:dyDescent="0.25">
      <c r="A16" s="43" t="s">
        <v>79</v>
      </c>
    </row>
    <row r="18" ht="15" customHeight="1" spans="1:1" x14ac:dyDescent="0.25">
      <c r="A18" s="42" t="s">
        <v>80</v>
      </c>
    </row>
    <row r="19" ht="18" customHeight="1" spans="1:1" x14ac:dyDescent="0.25">
      <c r="A19" s="43" t="s">
        <v>81</v>
      </c>
    </row>
    <row r="20" ht="18" customHeight="1" spans="1:1" x14ac:dyDescent="0.25">
      <c r="A20" s="43" t="s">
        <v>82</v>
      </c>
    </row>
    <row r="22" ht="15" customHeight="1" spans="1:1" x14ac:dyDescent="0.25">
      <c r="A22" s="42" t="s">
        <v>83</v>
      </c>
    </row>
    <row r="23" ht="28" customHeight="1" spans="1:1" x14ac:dyDescent="0.25">
      <c r="A23" s="43" t="s">
        <v>84</v>
      </c>
    </row>
    <row r="25" ht="15" customHeight="1" spans="1:1" x14ac:dyDescent="0.25">
      <c r="A25" s="42" t="s">
        <v>85</v>
      </c>
    </row>
    <row r="26" ht="28" customHeight="1" spans="1:1" x14ac:dyDescent="0.25">
      <c r="A26" s="43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workbookViewId="0" showGridLines="0"/>
  </sheetViews>
  <sheetFormatPr defaultRowHeight="15" outlineLevelRow="0" outlineLevelCol="0" x14ac:dyDescent="55"/>
  <cols>
    <col min="1" max="1" width="40" customWidth="1"/>
    <col min="2" max="2" width="15" customWidth="1"/>
    <col min="3" max="3" width="12" customWidth="1"/>
    <col min="4" max="5" width="11" customWidth="1"/>
    <col min="6" max="6" width="13" customWidth="1"/>
    <col min="7" max="7" width="15" customWidth="1"/>
  </cols>
  <sheetData>
    <row r="1" ht="28" customHeight="1" spans="1:7" x14ac:dyDescent="0.25">
      <c r="A1" s="44" t="s">
        <v>87</v>
      </c>
      <c r="B1" s="44"/>
      <c r="C1" s="44"/>
      <c r="D1" s="44"/>
      <c r="E1" s="44"/>
      <c r="F1" s="44"/>
      <c r="G1" s="44"/>
    </row>
    <row r="2" ht="26" customHeight="1" spans="1:7" x14ac:dyDescent="0.25">
      <c r="A2" s="2" t="s">
        <v>88</v>
      </c>
      <c r="B2" s="2"/>
      <c r="C2" s="2"/>
      <c r="D2" s="2"/>
      <c r="E2" s="2"/>
      <c r="F2" s="2"/>
      <c r="G2" s="2"/>
    </row>
    <row r="4" ht="18" customHeight="1" spans="1:7" x14ac:dyDescent="0.25">
      <c r="A4" s="3" t="s">
        <v>89</v>
      </c>
      <c r="B4" s="3"/>
      <c r="C4" s="3"/>
      <c r="D4" s="3"/>
      <c r="E4" s="3"/>
      <c r="F4" s="3"/>
      <c r="G4" s="3"/>
    </row>
    <row r="5" spans="2:5" x14ac:dyDescent="0.25">
      <c r="B5" s="34" t="s">
        <v>90</v>
      </c>
      <c r="C5" s="34" t="s">
        <v>91</v>
      </c>
      <c r="D5" s="34" t="s">
        <v>92</v>
      </c>
      <c r="E5" s="34" t="s">
        <v>93</v>
      </c>
    </row>
    <row r="6" ht="22" customHeight="1" spans="2:5" x14ac:dyDescent="0.25">
      <c r="B6" s="6">
        <f>B47</f>
      </c>
      <c r="C6" s="7">
        <f>B48</f>
      </c>
      <c r="D6" s="6">
        <f>B49</f>
      </c>
      <c r="E6" s="45">
        <f>B56</f>
      </c>
    </row>
    <row r="8" ht="18" customHeight="1" spans="1:7" x14ac:dyDescent="0.25">
      <c r="A8" s="3" t="s">
        <v>10</v>
      </c>
      <c r="B8" s="3"/>
      <c r="C8" s="3"/>
      <c r="D8" s="3"/>
      <c r="E8" s="3"/>
      <c r="F8" s="3"/>
      <c r="G8" s="3"/>
    </row>
    <row r="9" spans="1:2" x14ac:dyDescent="0.25">
      <c r="A9" s="9" t="s">
        <v>94</v>
      </c>
      <c r="B9" s="12">
        <v>0.5</v>
      </c>
    </row>
    <row r="10" spans="1:2" x14ac:dyDescent="0.25">
      <c r="A10" s="9" t="s">
        <v>95</v>
      </c>
      <c r="B10" s="15">
        <v>3</v>
      </c>
    </row>
    <row r="11" spans="1:2" x14ac:dyDescent="0.25">
      <c r="A11" s="9" t="s">
        <v>96</v>
      </c>
      <c r="B11" s="15">
        <v>15</v>
      </c>
    </row>
    <row r="12" spans="1:2" x14ac:dyDescent="0.25">
      <c r="A12" s="9" t="s">
        <v>97</v>
      </c>
      <c r="B12" s="46">
        <v>0.05</v>
      </c>
    </row>
    <row r="13" spans="1:2" x14ac:dyDescent="0.25">
      <c r="A13" s="9" t="s">
        <v>98</v>
      </c>
      <c r="B13" s="46">
        <v>0</v>
      </c>
    </row>
    <row r="14" spans="1:2" x14ac:dyDescent="0.25">
      <c r="A14" s="9" t="s">
        <v>99</v>
      </c>
      <c r="B14" s="13">
        <v>2500</v>
      </c>
    </row>
    <row r="15" spans="1:2" x14ac:dyDescent="0.25">
      <c r="A15" s="9" t="s">
        <v>100</v>
      </c>
      <c r="B15" s="47">
        <f>'Cost Model'!B13</f>
      </c>
    </row>
    <row r="17" ht="18" customHeight="1" spans="1:7" x14ac:dyDescent="0.25">
      <c r="A17" s="3" t="s">
        <v>101</v>
      </c>
      <c r="B17" s="3"/>
      <c r="C17" s="3"/>
      <c r="D17" s="3"/>
      <c r="E17" s="3"/>
      <c r="F17" s="3"/>
      <c r="G17" s="3"/>
    </row>
    <row r="18" spans="1:7" x14ac:dyDescent="0.25">
      <c r="A18" s="17" t="s">
        <v>24</v>
      </c>
      <c r="B18" s="18" t="s">
        <v>102</v>
      </c>
      <c r="C18" s="18" t="s">
        <v>103</v>
      </c>
      <c r="D18" s="18" t="s">
        <v>104</v>
      </c>
      <c r="E18" s="18" t="s">
        <v>105</v>
      </c>
      <c r="F18" s="18" t="s">
        <v>106</v>
      </c>
      <c r="G18" s="18" t="s">
        <v>107</v>
      </c>
    </row>
    <row r="19" spans="1:7" x14ac:dyDescent="0.25">
      <c r="A19" s="19" t="s">
        <v>108</v>
      </c>
      <c r="B19" s="21">
        <f>'Cost Model'!C25*$B$9</f>
      </c>
      <c r="C19" s="48">
        <v>3</v>
      </c>
      <c r="D19" s="49">
        <v>2000</v>
      </c>
      <c r="E19" s="49">
        <v>1500</v>
      </c>
      <c r="F19" s="50">
        <f>C19*(D19/1000000*$B$10+E19/1000000*$B$11)</f>
      </c>
      <c r="G19" s="23">
        <f>B19*F19</f>
      </c>
    </row>
    <row r="20" spans="1:7" x14ac:dyDescent="0.25">
      <c r="A20" s="24" t="s">
        <v>109</v>
      </c>
      <c r="B20" s="26">
        <f>'Cost Model'!C26*$B$9</f>
      </c>
      <c r="C20" s="48">
        <v>0.5</v>
      </c>
      <c r="D20" s="49">
        <v>600</v>
      </c>
      <c r="E20" s="49">
        <v>2200</v>
      </c>
      <c r="F20" s="51">
        <f>C20*(D20/1000000*$B$10+E20/1000000*$B$11)</f>
      </c>
      <c r="G20" s="27">
        <f>B20*F20</f>
      </c>
    </row>
    <row r="21" spans="1:7" x14ac:dyDescent="0.25">
      <c r="A21" s="19" t="s">
        <v>110</v>
      </c>
      <c r="B21" s="21">
        <f>'Cost Model'!C27*$B$9</f>
      </c>
      <c r="C21" s="48">
        <v>0.3</v>
      </c>
      <c r="D21" s="49">
        <v>600</v>
      </c>
      <c r="E21" s="49">
        <v>2200</v>
      </c>
      <c r="F21" s="50">
        <f>C21*(D21/1000000*$B$10+E21/1000000*$B$11)</f>
      </c>
      <c r="G21" s="23">
        <f>B21*F21</f>
      </c>
    </row>
    <row r="22" spans="1:7" x14ac:dyDescent="0.25">
      <c r="A22" s="24" t="s">
        <v>111</v>
      </c>
      <c r="B22" s="26">
        <f>'Cost Model'!C28*$B$9</f>
      </c>
      <c r="C22" s="48">
        <v>3</v>
      </c>
      <c r="D22" s="49">
        <v>1100</v>
      </c>
      <c r="E22" s="49">
        <v>1300</v>
      </c>
      <c r="F22" s="51">
        <f>C22*(D22/1000000*$B$10+E22/1000000*$B$11)</f>
      </c>
      <c r="G22" s="27">
        <f>B22*F22</f>
      </c>
    </row>
    <row r="23" spans="1:7" x14ac:dyDescent="0.25">
      <c r="A23" s="19" t="s">
        <v>112</v>
      </c>
      <c r="B23" s="21">
        <f>'Cost Model'!C29*$B$9</f>
      </c>
      <c r="C23" s="48">
        <v>0.6</v>
      </c>
      <c r="D23" s="49">
        <v>600</v>
      </c>
      <c r="E23" s="49">
        <v>2200</v>
      </c>
      <c r="F23" s="50">
        <f>C23*(D23/1000000*$B$10+E23/1000000*$B$11)</f>
      </c>
      <c r="G23" s="23">
        <f>B23*F23</f>
      </c>
    </row>
    <row r="24" spans="1:7" x14ac:dyDescent="0.25">
      <c r="A24" s="24" t="s">
        <v>113</v>
      </c>
      <c r="B24" s="26">
        <f>'Cost Model'!C30*$B$9</f>
      </c>
      <c r="C24" s="48">
        <v>10</v>
      </c>
      <c r="D24" s="49">
        <v>1100</v>
      </c>
      <c r="E24" s="49">
        <v>1300</v>
      </c>
      <c r="F24" s="51">
        <f>C24*(D24/1000000*$B$10+E24/1000000*$B$11)</f>
      </c>
      <c r="G24" s="27">
        <f>B24*F24</f>
      </c>
    </row>
    <row r="25" spans="1:7" x14ac:dyDescent="0.25">
      <c r="A25" s="19" t="s">
        <v>114</v>
      </c>
      <c r="B25" s="21">
        <f>'Cost Model'!C31*$B$9</f>
      </c>
      <c r="C25" s="48">
        <v>0</v>
      </c>
      <c r="D25" s="49">
        <v>0</v>
      </c>
      <c r="E25" s="49">
        <v>0</v>
      </c>
      <c r="F25" s="50">
        <f>C25*(D25/1000000*$B$10+E25/1000000*$B$11)</f>
      </c>
      <c r="G25" s="23">
        <f>B25*F25</f>
      </c>
    </row>
    <row r="26" spans="1:7" x14ac:dyDescent="0.25">
      <c r="A26" s="24" t="s">
        <v>115</v>
      </c>
      <c r="B26" s="26">
        <f>'Cost Model'!C32*$B$9</f>
      </c>
      <c r="C26" s="48">
        <v>1</v>
      </c>
      <c r="D26" s="49">
        <v>700</v>
      </c>
      <c r="E26" s="49">
        <v>2000</v>
      </c>
      <c r="F26" s="51">
        <f>C26*(D26/1000000*$B$10+E26/1000000*$B$11)</f>
      </c>
      <c r="G26" s="27">
        <f>B26*F26</f>
      </c>
    </row>
    <row r="27" spans="1:7" x14ac:dyDescent="0.25">
      <c r="A27" s="19" t="s">
        <v>116</v>
      </c>
      <c r="B27" s="21">
        <f>'Cost Model'!C33*$B$9</f>
      </c>
      <c r="C27" s="48">
        <v>1</v>
      </c>
      <c r="D27" s="49">
        <v>2000</v>
      </c>
      <c r="E27" s="49">
        <v>2000</v>
      </c>
      <c r="F27" s="50">
        <f>C27*(D27/1000000*$B$10+E27/1000000*$B$11)</f>
      </c>
      <c r="G27" s="23">
        <f>B27*F27</f>
      </c>
    </row>
    <row r="28" spans="1:7" x14ac:dyDescent="0.25">
      <c r="A28" s="24" t="s">
        <v>45</v>
      </c>
      <c r="B28" s="26">
        <f>'Cost Model'!C34*$B$9</f>
      </c>
      <c r="C28" s="48">
        <v>1</v>
      </c>
      <c r="D28" s="49">
        <v>2000</v>
      </c>
      <c r="E28" s="49">
        <v>1500</v>
      </c>
      <c r="F28" s="51">
        <f>C28*(D28/1000000*$B$10+E28/1000000*$B$11)</f>
      </c>
      <c r="G28" s="27">
        <f>B28*F28</f>
      </c>
    </row>
    <row r="29" spans="1:7" x14ac:dyDescent="0.25">
      <c r="A29" s="19" t="s">
        <v>117</v>
      </c>
      <c r="B29" s="21">
        <f>'Cost Model'!C35*$B$9</f>
      </c>
      <c r="C29" s="48">
        <v>3</v>
      </c>
      <c r="D29" s="49">
        <v>1200</v>
      </c>
      <c r="E29" s="49">
        <v>2500</v>
      </c>
      <c r="F29" s="50">
        <f>C29*(D29/1000000*$B$10+E29/1000000*$B$11)</f>
      </c>
      <c r="G29" s="23">
        <f>B29*F29</f>
      </c>
    </row>
    <row r="30" spans="1:7" x14ac:dyDescent="0.25">
      <c r="A30" s="24" t="s">
        <v>118</v>
      </c>
      <c r="B30" s="26">
        <f>'Cost Model'!C36*$B$9</f>
      </c>
      <c r="C30" s="48">
        <v>0</v>
      </c>
      <c r="D30" s="49">
        <v>0</v>
      </c>
      <c r="E30" s="49">
        <v>0</v>
      </c>
      <c r="F30" s="51">
        <f>C30*(D30/1000000*$B$10+E30/1000000*$B$11)</f>
      </c>
      <c r="G30" s="27">
        <f>B30*F30</f>
      </c>
    </row>
    <row r="31" spans="1:7" x14ac:dyDescent="0.25">
      <c r="A31" s="19" t="s">
        <v>119</v>
      </c>
      <c r="B31" s="21">
        <f>'Cost Model'!C37*$B$9</f>
      </c>
      <c r="C31" s="48">
        <v>1</v>
      </c>
      <c r="D31" s="49">
        <v>600</v>
      </c>
      <c r="E31" s="49">
        <v>2200</v>
      </c>
      <c r="F31" s="50">
        <f>C31*(D31/1000000*$B$10+E31/1000000*$B$11)</f>
      </c>
      <c r="G31" s="23">
        <f>B31*F31</f>
      </c>
    </row>
    <row r="32" spans="1:7" x14ac:dyDescent="0.25">
      <c r="A32" s="35" t="s">
        <v>120</v>
      </c>
      <c r="B32" s="52" t="s">
        <v>3</v>
      </c>
      <c r="C32" s="52" t="s">
        <v>3</v>
      </c>
      <c r="D32" s="52" t="s">
        <v>3</v>
      </c>
      <c r="E32" s="52" t="s">
        <v>3</v>
      </c>
      <c r="F32" s="52" t="s">
        <v>3</v>
      </c>
      <c r="G32" s="53">
        <f>SUM(G19:G31)</f>
      </c>
    </row>
    <row r="33" spans="1:7" x14ac:dyDescent="0.25">
      <c r="A33" s="35" t="s">
        <v>121</v>
      </c>
      <c r="B33" s="52" t="s">
        <v>3</v>
      </c>
      <c r="C33" s="52" t="s">
        <v>3</v>
      </c>
      <c r="D33" s="52" t="s">
        <v>3</v>
      </c>
      <c r="E33" s="52" t="s">
        <v>3</v>
      </c>
      <c r="F33" s="52" t="s">
        <v>3</v>
      </c>
      <c r="G33" s="53">
        <f>('Cost Model'!C28+'Cost Model'!C30)*$B$9*$B$13</f>
      </c>
    </row>
    <row r="34" spans="1:7" x14ac:dyDescent="0.25">
      <c r="A34" s="35" t="s">
        <v>122</v>
      </c>
      <c r="B34" s="52" t="s">
        <v>3</v>
      </c>
      <c r="C34" s="52" t="s">
        <v>3</v>
      </c>
      <c r="D34" s="52" t="s">
        <v>3</v>
      </c>
      <c r="E34" s="52" t="s">
        <v>3</v>
      </c>
      <c r="F34" s="52" t="s">
        <v>3</v>
      </c>
      <c r="G34" s="53">
        <f>SUM(B19:B31)*$B$12</f>
      </c>
    </row>
    <row r="35" spans="1:7" x14ac:dyDescent="0.25">
      <c r="A35" s="35" t="s">
        <v>123</v>
      </c>
      <c r="B35" s="52" t="s">
        <v>3</v>
      </c>
      <c r="C35" s="52" t="s">
        <v>3</v>
      </c>
      <c r="D35" s="52" t="s">
        <v>3</v>
      </c>
      <c r="E35" s="52" t="s">
        <v>3</v>
      </c>
      <c r="F35" s="52" t="s">
        <v>3</v>
      </c>
      <c r="G35" s="53">
        <f>$B$14</f>
      </c>
    </row>
    <row r="36" spans="1:7" x14ac:dyDescent="0.25">
      <c r="A36" s="28" t="s">
        <v>124</v>
      </c>
      <c r="B36" s="29" t="s">
        <v>3</v>
      </c>
      <c r="C36" s="29" t="s">
        <v>3</v>
      </c>
      <c r="D36" s="29" t="s">
        <v>3</v>
      </c>
      <c r="E36" s="29" t="s">
        <v>3</v>
      </c>
      <c r="F36" s="29" t="s">
        <v>3</v>
      </c>
      <c r="G36" s="30">
        <f>G32+G33+G34+G35</f>
      </c>
    </row>
    <row r="38" ht="18" customHeight="1" spans="1:7" x14ac:dyDescent="0.25">
      <c r="A38" s="3" t="s">
        <v>125</v>
      </c>
      <c r="B38" s="3"/>
      <c r="C38" s="3"/>
      <c r="D38" s="3"/>
      <c r="E38" s="3"/>
      <c r="F38" s="3"/>
      <c r="G38" s="3"/>
    </row>
    <row r="39" spans="1:2" x14ac:dyDescent="0.25">
      <c r="A39" s="9" t="s">
        <v>126</v>
      </c>
      <c r="B39" s="13">
        <v>12000</v>
      </c>
    </row>
    <row r="40" spans="1:2" x14ac:dyDescent="0.25">
      <c r="A40" s="9" t="s">
        <v>127</v>
      </c>
      <c r="B40" s="13">
        <v>45000</v>
      </c>
    </row>
    <row r="41" spans="1:2" x14ac:dyDescent="0.25">
      <c r="A41" s="9" t="s">
        <v>128</v>
      </c>
      <c r="B41" s="13">
        <v>25000</v>
      </c>
    </row>
    <row r="42" spans="1:2" x14ac:dyDescent="0.25">
      <c r="A42" s="9" t="s">
        <v>129</v>
      </c>
      <c r="B42" s="13">
        <v>3500</v>
      </c>
    </row>
    <row r="43" spans="1:2" x14ac:dyDescent="0.25">
      <c r="A43" s="9" t="s">
        <v>130</v>
      </c>
      <c r="B43" s="54">
        <f>IF('Cost Model'!B13="Sovereign",40000,0)</f>
      </c>
    </row>
    <row r="44" spans="1:2" x14ac:dyDescent="0.25">
      <c r="A44" s="32" t="s">
        <v>131</v>
      </c>
      <c r="B44" s="30">
        <f>SUM(B39:B43)</f>
      </c>
    </row>
    <row r="46" ht="18" customHeight="1" spans="1:7" x14ac:dyDescent="0.25">
      <c r="A46" s="3" t="s">
        <v>132</v>
      </c>
      <c r="B46" s="3"/>
      <c r="C46" s="3"/>
      <c r="D46" s="3"/>
      <c r="E46" s="3"/>
      <c r="F46" s="3"/>
      <c r="G46" s="3"/>
    </row>
    <row r="47" spans="1:2" x14ac:dyDescent="0.25">
      <c r="A47" s="9" t="s">
        <v>133</v>
      </c>
      <c r="B47" s="31">
        <f>B44</f>
      </c>
    </row>
    <row r="48" spans="1:2" x14ac:dyDescent="0.25">
      <c r="A48" s="9" t="s">
        <v>134</v>
      </c>
      <c r="B48" s="31">
        <f>G36</f>
      </c>
    </row>
    <row r="49" spans="1:2" x14ac:dyDescent="0.25">
      <c r="A49" s="32" t="s">
        <v>135</v>
      </c>
      <c r="B49" s="30">
        <f>B47+B48</f>
      </c>
    </row>
    <row r="50" spans="1:2" x14ac:dyDescent="0.25">
      <c r="A50" s="9" t="s">
        <v>136</v>
      </c>
      <c r="B50" s="31">
        <f>'Cost Model'!B16+IF('Cost Model'!B13="Sovereign",'Cost Model'!B17,0)</f>
      </c>
    </row>
    <row r="51" spans="1:2" x14ac:dyDescent="0.25">
      <c r="A51" s="9" t="s">
        <v>137</v>
      </c>
      <c r="B51" s="55">
        <f>'Cost Model'!B12*$B$9</f>
      </c>
    </row>
    <row r="52" spans="1:2" x14ac:dyDescent="0.25">
      <c r="A52" s="9" t="s">
        <v>138</v>
      </c>
      <c r="B52" s="56">
        <f>B49/B51</f>
      </c>
    </row>
    <row r="53" spans="1:2" x14ac:dyDescent="0.25">
      <c r="A53" s="32" t="s">
        <v>139</v>
      </c>
      <c r="B53" s="57">
        <f>B48/B49</f>
      </c>
    </row>
    <row r="54" spans="1:2" x14ac:dyDescent="0.25">
      <c r="A54" s="9" t="s">
        <v>140</v>
      </c>
      <c r="B54" s="31">
        <f>IF('Cost Model'!B13="Sovereign",'Cost Model'!C52,'Cost Model'!B52)</f>
      </c>
    </row>
    <row r="55" spans="1:2" x14ac:dyDescent="0.25">
      <c r="A55" s="32" t="s">
        <v>141</v>
      </c>
      <c r="B55" s="30">
        <f>B54-B49</f>
      </c>
    </row>
    <row r="56" spans="1:2" x14ac:dyDescent="0.25">
      <c r="A56" s="32" t="s">
        <v>142</v>
      </c>
      <c r="B56" s="57">
        <f>B55/B54</f>
      </c>
    </row>
    <row r="58" ht="28" customHeight="1" spans="1:7" x14ac:dyDescent="0.25">
      <c r="A58" s="58" t="s">
        <v>143</v>
      </c>
      <c r="B58" s="58"/>
      <c r="C58" s="58"/>
      <c r="D58" s="58"/>
      <c r="E58" s="58"/>
      <c r="F58" s="58"/>
      <c r="G58" s="58"/>
    </row>
  </sheetData>
  <mergeCells count="8">
    <mergeCell ref="A1:G1"/>
    <mergeCell ref="A2:G2"/>
    <mergeCell ref="A4:G4"/>
    <mergeCell ref="A8:G8"/>
    <mergeCell ref="A17:G17"/>
    <mergeCell ref="A38:G38"/>
    <mergeCell ref="A46:G46"/>
    <mergeCell ref="A58:G5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 showGridLines="0"/>
  </sheetViews>
  <sheetFormatPr defaultRowHeight="15" outlineLevelRow="0" outlineLevelCol="0" x14ac:dyDescent="55"/>
  <cols>
    <col min="1" max="1" width="42" customWidth="1"/>
    <col min="2" max="6" width="15" customWidth="1"/>
  </cols>
  <sheetData>
    <row r="1" ht="28" customHeight="1" spans="1:6" x14ac:dyDescent="0.25">
      <c r="A1" s="44" t="s">
        <v>144</v>
      </c>
      <c r="B1" s="44"/>
      <c r="C1" s="44"/>
      <c r="D1" s="44"/>
      <c r="E1" s="44"/>
      <c r="F1" s="44"/>
    </row>
    <row r="2" ht="26" customHeight="1" spans="1:6" x14ac:dyDescent="0.25">
      <c r="A2" s="2" t="s">
        <v>145</v>
      </c>
      <c r="B2" s="2"/>
      <c r="C2" s="2"/>
      <c r="D2" s="2"/>
      <c r="E2" s="2"/>
      <c r="F2" s="2"/>
    </row>
    <row r="4" ht="18" customHeight="1" spans="1:6" x14ac:dyDescent="0.25">
      <c r="A4" s="3" t="s">
        <v>89</v>
      </c>
      <c r="B4" s="3"/>
      <c r="C4" s="3"/>
      <c r="D4" s="3"/>
      <c r="E4" s="3"/>
      <c r="F4" s="3"/>
    </row>
    <row r="5" spans="2:6" x14ac:dyDescent="0.25">
      <c r="B5" s="34" t="s">
        <v>146</v>
      </c>
      <c r="C5" s="34" t="s">
        <v>147</v>
      </c>
      <c r="D5" s="34" t="s">
        <v>148</v>
      </c>
      <c r="E5" s="34" t="s">
        <v>149</v>
      </c>
      <c r="F5" s="34" t="s">
        <v>93</v>
      </c>
    </row>
    <row r="6" ht="22" customHeight="1" spans="2:6" x14ac:dyDescent="0.25">
      <c r="B6" s="59">
        <f>B9</f>
      </c>
      <c r="C6" s="60">
        <f>B32</f>
      </c>
      <c r="D6" s="6">
        <f>B35</f>
      </c>
      <c r="E6" s="7">
        <f>B36</f>
      </c>
      <c r="F6" s="61">
        <f>B37</f>
      </c>
    </row>
    <row r="8" ht="18" customHeight="1" spans="1:6" x14ac:dyDescent="0.25">
      <c r="A8" s="3" t="s">
        <v>10</v>
      </c>
      <c r="B8" s="3"/>
      <c r="C8" s="3"/>
      <c r="D8" s="3"/>
      <c r="E8" s="3"/>
      <c r="F8" s="3"/>
    </row>
    <row r="9" spans="1:2" x14ac:dyDescent="0.25">
      <c r="A9" s="9" t="s">
        <v>150</v>
      </c>
      <c r="B9" s="10">
        <v>10</v>
      </c>
    </row>
    <row r="10" spans="1:2" x14ac:dyDescent="0.25">
      <c r="A10" s="9" t="s">
        <v>151</v>
      </c>
      <c r="B10" s="12">
        <v>0.2</v>
      </c>
    </row>
    <row r="11" spans="1:2" x14ac:dyDescent="0.25">
      <c r="A11" s="9" t="s">
        <v>152</v>
      </c>
      <c r="B11" s="62">
        <f>'Cost Model'!B52</f>
      </c>
    </row>
    <row r="12" spans="1:2" x14ac:dyDescent="0.25">
      <c r="A12" s="9" t="s">
        <v>153</v>
      </c>
      <c r="B12" s="62">
        <f>'Cost Model'!C52</f>
      </c>
    </row>
    <row r="13" spans="1:2" x14ac:dyDescent="0.25">
      <c r="A13" s="32" t="s">
        <v>154</v>
      </c>
      <c r="B13" s="63">
        <f>(1-B10)*B11+B10*B12</f>
      </c>
    </row>
    <row r="14" spans="1:2" x14ac:dyDescent="0.25">
      <c r="A14" s="9" t="s">
        <v>155</v>
      </c>
      <c r="B14" s="62">
        <f>'Operating Cost &amp; Margin'!G36</f>
      </c>
    </row>
    <row r="15" spans="1:2" x14ac:dyDescent="0.25">
      <c r="A15" s="9" t="s">
        <v>156</v>
      </c>
      <c r="B15" s="62">
        <f>'Cost Model'!B16</f>
      </c>
    </row>
    <row r="17" ht="18" customHeight="1" spans="1:6" x14ac:dyDescent="0.25">
      <c r="A17" s="3" t="s">
        <v>157</v>
      </c>
      <c r="B17" s="3"/>
      <c r="C17" s="3"/>
      <c r="D17" s="3"/>
      <c r="E17" s="3"/>
      <c r="F17" s="3"/>
    </row>
    <row r="18" spans="1:2" x14ac:dyDescent="0.25">
      <c r="A18" s="9" t="s">
        <v>158</v>
      </c>
      <c r="B18" s="13">
        <v>350000</v>
      </c>
    </row>
    <row r="19" spans="1:2" x14ac:dyDescent="0.25">
      <c r="A19" s="9" t="s">
        <v>159</v>
      </c>
      <c r="B19" s="13">
        <v>120000</v>
      </c>
    </row>
    <row r="20" spans="1:2" x14ac:dyDescent="0.25">
      <c r="A20" s="9" t="s">
        <v>160</v>
      </c>
      <c r="B20" s="13">
        <v>45000</v>
      </c>
    </row>
    <row r="21" spans="1:2" x14ac:dyDescent="0.25">
      <c r="A21" s="9" t="s">
        <v>161</v>
      </c>
      <c r="B21" s="13">
        <v>200000</v>
      </c>
    </row>
    <row r="22" spans="1:2" x14ac:dyDescent="0.25">
      <c r="A22" s="32" t="s">
        <v>162</v>
      </c>
      <c r="B22" s="30">
        <f>SUM(B18:B21)</f>
      </c>
    </row>
    <row r="24" ht="18" customHeight="1" spans="1:6" x14ac:dyDescent="0.25">
      <c r="A24" s="3" t="s">
        <v>163</v>
      </c>
      <c r="B24" s="3"/>
      <c r="C24" s="3"/>
      <c r="D24" s="3"/>
      <c r="E24" s="3"/>
      <c r="F24" s="3"/>
    </row>
    <row r="25" spans="1:2" x14ac:dyDescent="0.25">
      <c r="A25" s="9" t="s">
        <v>164</v>
      </c>
      <c r="B25" s="13">
        <v>15000</v>
      </c>
    </row>
    <row r="26" spans="1:2" x14ac:dyDescent="0.25">
      <c r="A26" s="9" t="s">
        <v>165</v>
      </c>
      <c r="B26" s="62">
        <f>(1-B10)*3000+B10*25000</f>
      </c>
    </row>
    <row r="27" spans="1:2" x14ac:dyDescent="0.25">
      <c r="A27" s="9" t="s">
        <v>166</v>
      </c>
      <c r="B27" s="62">
        <f>B14</f>
      </c>
    </row>
    <row r="28" spans="1:2" x14ac:dyDescent="0.25">
      <c r="A28" s="32" t="s">
        <v>167</v>
      </c>
      <c r="B28" s="63">
        <f>SUM(B25:B27)</f>
      </c>
    </row>
    <row r="29" spans="1:2" x14ac:dyDescent="0.25">
      <c r="A29" s="9" t="s">
        <v>168</v>
      </c>
      <c r="B29" s="64">
        <f>B28*B9</f>
      </c>
    </row>
    <row r="31" ht="18" customHeight="1" spans="1:6" x14ac:dyDescent="0.25">
      <c r="A31" s="3" t="s">
        <v>169</v>
      </c>
      <c r="B31" s="3"/>
      <c r="C31" s="3"/>
      <c r="D31" s="3"/>
      <c r="E31" s="3"/>
      <c r="F31" s="3"/>
    </row>
    <row r="32" spans="1:2" x14ac:dyDescent="0.25">
      <c r="A32" s="32" t="s">
        <v>147</v>
      </c>
      <c r="B32" s="30">
        <f>B9*B13</f>
      </c>
    </row>
    <row r="33" spans="1:2" x14ac:dyDescent="0.25">
      <c r="A33" s="9" t="s">
        <v>170</v>
      </c>
      <c r="B33" s="31">
        <f>B22</f>
      </c>
    </row>
    <row r="34" spans="1:2" x14ac:dyDescent="0.25">
      <c r="A34" s="9" t="s">
        <v>171</v>
      </c>
      <c r="B34" s="31">
        <f>B29</f>
      </c>
    </row>
    <row r="35" spans="1:2" x14ac:dyDescent="0.25">
      <c r="A35" s="32" t="s">
        <v>148</v>
      </c>
      <c r="B35" s="30">
        <f>B33+B34</f>
      </c>
    </row>
    <row r="36" spans="1:2" x14ac:dyDescent="0.25">
      <c r="A36" s="32" t="s">
        <v>149</v>
      </c>
      <c r="B36" s="30">
        <f>B32-B35</f>
      </c>
    </row>
    <row r="37" spans="1:2" x14ac:dyDescent="0.25">
      <c r="A37" s="32" t="s">
        <v>142</v>
      </c>
      <c r="B37" s="57">
        <f>B36/B32</f>
      </c>
    </row>
    <row r="38" spans="1:2" x14ac:dyDescent="0.25">
      <c r="A38" s="9" t="s">
        <v>172</v>
      </c>
      <c r="B38" s="31">
        <f>B13</f>
      </c>
    </row>
    <row r="39" spans="1:2" x14ac:dyDescent="0.25">
      <c r="A39" s="9" t="s">
        <v>173</v>
      </c>
      <c r="B39" s="31">
        <f>B35/B9</f>
      </c>
    </row>
    <row r="40" spans="1:2" x14ac:dyDescent="0.25">
      <c r="A40" s="9" t="s">
        <v>174</v>
      </c>
      <c r="B40" s="31">
        <f>B36/B9</f>
      </c>
    </row>
    <row r="41" spans="1:2" x14ac:dyDescent="0.25">
      <c r="A41" s="9" t="s">
        <v>175</v>
      </c>
      <c r="B41" s="31">
        <f>B9*B15</f>
      </c>
    </row>
    <row r="43" ht="18" customHeight="1" spans="1:6" x14ac:dyDescent="0.25">
      <c r="A43" s="3" t="s">
        <v>176</v>
      </c>
      <c r="B43" s="3"/>
      <c r="C43" s="3"/>
      <c r="D43" s="3"/>
      <c r="E43" s="3"/>
      <c r="F43" s="3"/>
    </row>
    <row r="44" spans="1:6" x14ac:dyDescent="0.25">
      <c r="A44" s="33" t="s">
        <v>146</v>
      </c>
      <c r="B44" s="65">
        <v>3</v>
      </c>
      <c r="C44" s="65">
        <v>5</v>
      </c>
      <c r="D44" s="65">
        <v>10</v>
      </c>
      <c r="E44" s="65">
        <v>15</v>
      </c>
      <c r="F44" s="65">
        <v>25</v>
      </c>
    </row>
    <row r="45" spans="1:6" x14ac:dyDescent="0.25">
      <c r="A45" s="9" t="s">
        <v>147</v>
      </c>
      <c r="B45" s="64">
        <f>B44*$B$13</f>
      </c>
      <c r="C45" s="64">
        <f>C44*$B$13</f>
      </c>
      <c r="D45" s="64">
        <f>D44*$B$13</f>
      </c>
      <c r="E45" s="64">
        <f>E44*$B$13</f>
      </c>
      <c r="F45" s="64">
        <f>F44*$B$13</f>
      </c>
    </row>
    <row r="46" spans="1:6" x14ac:dyDescent="0.25">
      <c r="A46" s="9" t="s">
        <v>148</v>
      </c>
      <c r="B46" s="64">
        <f>$B$22+B44*$B$28</f>
      </c>
      <c r="C46" s="64">
        <f>$B$22+C44*$B$28</f>
      </c>
      <c r="D46" s="64">
        <f>$B$22+D44*$B$28</f>
      </c>
      <c r="E46" s="64">
        <f>$B$22+E44*$B$28</f>
      </c>
      <c r="F46" s="64">
        <f>$B$22+F44*$B$28</f>
      </c>
    </row>
    <row r="47" spans="1:6" x14ac:dyDescent="0.25">
      <c r="A47" s="32" t="s">
        <v>142</v>
      </c>
      <c r="B47" s="66">
        <f>(B45-B46)/B45</f>
      </c>
      <c r="C47" s="66">
        <f>(C45-C46)/C45</f>
      </c>
      <c r="D47" s="66">
        <f>(D45-D46)/D45</f>
      </c>
      <c r="E47" s="66">
        <f>(E45-E46)/E45</f>
      </c>
      <c r="F47" s="66">
        <f>(F45-F46)/F45</f>
      </c>
    </row>
    <row r="49" ht="34" customHeight="1" spans="1:6" x14ac:dyDescent="0.25">
      <c r="A49" s="58" t="s">
        <v>177</v>
      </c>
      <c r="B49" s="58"/>
      <c r="C49" s="58"/>
      <c r="D49" s="58"/>
      <c r="E49" s="58"/>
      <c r="F49" s="58"/>
    </row>
  </sheetData>
  <mergeCells count="9">
    <mergeCell ref="A1:F1"/>
    <mergeCell ref="A2:F2"/>
    <mergeCell ref="A4:F4"/>
    <mergeCell ref="A8:F8"/>
    <mergeCell ref="A17:F17"/>
    <mergeCell ref="A24:F24"/>
    <mergeCell ref="A31:F31"/>
    <mergeCell ref="A43:F43"/>
    <mergeCell ref="A49:F4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 showGridLines="0"/>
  </sheetViews>
  <sheetFormatPr defaultRowHeight="15" outlineLevelRow="0" outlineLevelCol="0" x14ac:dyDescent="55"/>
  <cols>
    <col min="1" max="1" width="30" customWidth="1"/>
    <col min="2" max="13" width="9.3" customWidth="1"/>
    <col min="14" max="14" width="13" customWidth="1"/>
  </cols>
  <sheetData>
    <row r="1" ht="28" customHeight="1" spans="1:14" x14ac:dyDescent="0.25">
      <c r="A1" s="44" t="s">
        <v>178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ht="24" customHeight="1" spans="1:14" x14ac:dyDescent="0.25">
      <c r="A2" s="2" t="s">
        <v>179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18" customHeight="1" spans="1:14" x14ac:dyDescent="0.25">
      <c r="A4" s="3" t="s">
        <v>180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2" x14ac:dyDescent="0.25">
      <c r="A5" s="9" t="s">
        <v>181</v>
      </c>
      <c r="B5" s="62">
        <f>'Portfolio (10 clients)'!B13</f>
      </c>
    </row>
    <row r="6" spans="1:2" x14ac:dyDescent="0.25">
      <c r="A6" s="9" t="s">
        <v>182</v>
      </c>
      <c r="B6" s="62">
        <f>'Cost Model'!B16</f>
      </c>
    </row>
    <row r="7" spans="1:2" x14ac:dyDescent="0.25">
      <c r="A7" s="9" t="s">
        <v>183</v>
      </c>
      <c r="B7" s="62">
        <f>'Portfolio (10 clients)'!B28</f>
      </c>
    </row>
    <row r="8" spans="1:2" x14ac:dyDescent="0.25">
      <c r="A8" s="9" t="s">
        <v>184</v>
      </c>
      <c r="B8" s="62">
        <f>'Portfolio (10 clients)'!B22</f>
      </c>
    </row>
    <row r="9" spans="1:2" x14ac:dyDescent="0.25">
      <c r="A9" s="9" t="s">
        <v>185</v>
      </c>
      <c r="B9" s="12">
        <v>0.4</v>
      </c>
    </row>
    <row r="11" ht="18" customHeight="1" spans="1:14" x14ac:dyDescent="0.25">
      <c r="A11" s="3" t="s">
        <v>186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t="s">
        <v>3</v>
      </c>
      <c r="B12" s="34" t="s">
        <v>187</v>
      </c>
      <c r="C12" s="34" t="s">
        <v>188</v>
      </c>
      <c r="D12" s="34" t="s">
        <v>189</v>
      </c>
      <c r="E12" s="34" t="s">
        <v>190</v>
      </c>
      <c r="F12" s="34" t="s">
        <v>191</v>
      </c>
      <c r="G12" s="34" t="s">
        <v>192</v>
      </c>
      <c r="H12" s="34" t="s">
        <v>193</v>
      </c>
      <c r="I12" s="34" t="s">
        <v>194</v>
      </c>
      <c r="J12" s="34" t="s">
        <v>195</v>
      </c>
      <c r="K12" s="34" t="s">
        <v>196</v>
      </c>
      <c r="L12" s="34" t="s">
        <v>197</v>
      </c>
      <c r="M12" s="34" t="s">
        <v>198</v>
      </c>
      <c r="N12" s="34" t="s">
        <v>199</v>
      </c>
    </row>
    <row r="13" spans="1:14" x14ac:dyDescent="0.25">
      <c r="A13" s="9" t="s">
        <v>200</v>
      </c>
      <c r="B13" s="10">
        <v>1</v>
      </c>
      <c r="C13" s="10">
        <v>1</v>
      </c>
      <c r="D13" s="10">
        <v>1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  <c r="J13" s="10">
        <v>1</v>
      </c>
      <c r="K13" s="10">
        <v>1</v>
      </c>
      <c r="L13" s="10">
        <v>0</v>
      </c>
      <c r="M13" s="10">
        <v>0</v>
      </c>
      <c r="N13" s="39">
        <f>SUM(B13:M13)</f>
      </c>
    </row>
    <row r="14" spans="1:14" x14ac:dyDescent="0.25">
      <c r="A14" s="5" t="s">
        <v>201</v>
      </c>
      <c r="B14" s="39">
        <f>B13</f>
      </c>
      <c r="C14" s="39">
        <f>B14+C13</f>
      </c>
      <c r="D14" s="39">
        <f>C14+D13</f>
      </c>
      <c r="E14" s="39">
        <f>D14+E13</f>
      </c>
      <c r="F14" s="39">
        <f>E14+F13</f>
      </c>
      <c r="G14" s="39">
        <f>F14+G13</f>
      </c>
      <c r="H14" s="39">
        <f>G14+H13</f>
      </c>
      <c r="I14" s="39">
        <f>H14+I13</f>
      </c>
      <c r="J14" s="39">
        <f>I14+J13</f>
      </c>
      <c r="K14" s="39">
        <f>J14+K13</f>
      </c>
      <c r="L14" s="39">
        <f>K14+L13</f>
      </c>
      <c r="M14" s="39">
        <f>L14+M13</f>
      </c>
      <c r="N14" s="39">
        <f>M14</f>
      </c>
    </row>
    <row r="15" spans="1:14" x14ac:dyDescent="0.25">
      <c r="A15" s="9" t="s">
        <v>202</v>
      </c>
      <c r="B15" s="64">
        <f>B14*$B$5/12</f>
      </c>
      <c r="C15" s="64">
        <f>C14*$B$5/12</f>
      </c>
      <c r="D15" s="64">
        <f>D14*$B$5/12</f>
      </c>
      <c r="E15" s="64">
        <f>E14*$B$5/12</f>
      </c>
      <c r="F15" s="64">
        <f>F14*$B$5/12</f>
      </c>
      <c r="G15" s="64">
        <f>G14*$B$5/12</f>
      </c>
      <c r="H15" s="64">
        <f>H14*$B$5/12</f>
      </c>
      <c r="I15" s="64">
        <f>I14*$B$5/12</f>
      </c>
      <c r="J15" s="64">
        <f>J14*$B$5/12</f>
      </c>
      <c r="K15" s="64">
        <f>K14*$B$5/12</f>
      </c>
      <c r="L15" s="64">
        <f>L14*$B$5/12</f>
      </c>
      <c r="M15" s="64">
        <f>M14*$B$5/12</f>
      </c>
      <c r="N15" s="36">
        <f>SUM(B15:M15)</f>
      </c>
    </row>
    <row r="16" spans="1:14" x14ac:dyDescent="0.25">
      <c r="A16" s="9" t="s">
        <v>203</v>
      </c>
      <c r="B16" s="64">
        <f>B13*$B$6</f>
      </c>
      <c r="C16" s="64">
        <f>C13*$B$6</f>
      </c>
      <c r="D16" s="64">
        <f>D13*$B$6</f>
      </c>
      <c r="E16" s="64">
        <f>E13*$B$6</f>
      </c>
      <c r="F16" s="64">
        <f>F13*$B$6</f>
      </c>
      <c r="G16" s="64">
        <f>G13*$B$6</f>
      </c>
      <c r="H16" s="64">
        <f>H13*$B$6</f>
      </c>
      <c r="I16" s="64">
        <f>I13*$B$6</f>
      </c>
      <c r="J16" s="64">
        <f>J13*$B$6</f>
      </c>
      <c r="K16" s="64">
        <f>K13*$B$6</f>
      </c>
      <c r="L16" s="64">
        <f>L13*$B$6</f>
      </c>
      <c r="M16" s="64">
        <f>M13*$B$6</f>
      </c>
      <c r="N16" s="36">
        <f>SUM(B16:M16)</f>
      </c>
    </row>
    <row r="17" spans="1:14" x14ac:dyDescent="0.25">
      <c r="A17" s="32" t="s">
        <v>204</v>
      </c>
      <c r="B17" s="63">
        <f>B15+B16</f>
      </c>
      <c r="C17" s="63">
        <f>C15+C16</f>
      </c>
      <c r="D17" s="63">
        <f>D15+D16</f>
      </c>
      <c r="E17" s="63">
        <f>E15+E16</f>
      </c>
      <c r="F17" s="63">
        <f>F15+F16</f>
      </c>
      <c r="G17" s="63">
        <f>G15+G16</f>
      </c>
      <c r="H17" s="63">
        <f>H15+H16</f>
      </c>
      <c r="I17" s="63">
        <f>I15+I16</f>
      </c>
      <c r="J17" s="63">
        <f>J15+J16</f>
      </c>
      <c r="K17" s="63">
        <f>K15+K16</f>
      </c>
      <c r="L17" s="63">
        <f>L15+L16</f>
      </c>
      <c r="M17" s="63">
        <f>M15+M16</f>
      </c>
      <c r="N17" s="63">
        <f>SUM(B17:M17)</f>
      </c>
    </row>
    <row r="18" spans="1:14" x14ac:dyDescent="0.25">
      <c r="A18" s="9" t="s">
        <v>205</v>
      </c>
      <c r="B18" s="64">
        <f>$B$8/12</f>
      </c>
      <c r="C18" s="64">
        <f>$B$8/12</f>
      </c>
      <c r="D18" s="64">
        <f>$B$8/12</f>
      </c>
      <c r="E18" s="64">
        <f>$B$8/12</f>
      </c>
      <c r="F18" s="64">
        <f>$B$8/12</f>
      </c>
      <c r="G18" s="64">
        <f>$B$8/12</f>
      </c>
      <c r="H18" s="64">
        <f>$B$8/12</f>
      </c>
      <c r="I18" s="64">
        <f>$B$8/12</f>
      </c>
      <c r="J18" s="64">
        <f>$B$8/12</f>
      </c>
      <c r="K18" s="64">
        <f>$B$8/12</f>
      </c>
      <c r="L18" s="64">
        <f>$B$8/12</f>
      </c>
      <c r="M18" s="64">
        <f>$B$8/12</f>
      </c>
      <c r="N18" s="36">
        <f>SUM(B18:M18)</f>
      </c>
    </row>
    <row r="19" spans="1:14" x14ac:dyDescent="0.25">
      <c r="A19" s="9" t="s">
        <v>206</v>
      </c>
      <c r="B19" s="64">
        <f>B14*$B$7/12</f>
      </c>
      <c r="C19" s="64">
        <f>C14*$B$7/12</f>
      </c>
      <c r="D19" s="64">
        <f>D14*$B$7/12</f>
      </c>
      <c r="E19" s="64">
        <f>E14*$B$7/12</f>
      </c>
      <c r="F19" s="64">
        <f>F14*$B$7/12</f>
      </c>
      <c r="G19" s="64">
        <f>G14*$B$7/12</f>
      </c>
      <c r="H19" s="64">
        <f>H14*$B$7/12</f>
      </c>
      <c r="I19" s="64">
        <f>I14*$B$7/12</f>
      </c>
      <c r="J19" s="64">
        <f>J14*$B$7/12</f>
      </c>
      <c r="K19" s="64">
        <f>K14*$B$7/12</f>
      </c>
      <c r="L19" s="64">
        <f>L14*$B$7/12</f>
      </c>
      <c r="M19" s="64">
        <f>M14*$B$7/12</f>
      </c>
      <c r="N19" s="36">
        <f>SUM(B19:M19)</f>
      </c>
    </row>
    <row r="20" spans="1:14" x14ac:dyDescent="0.25">
      <c r="A20" s="9" t="s">
        <v>207</v>
      </c>
      <c r="B20" s="22">
        <v>100000</v>
      </c>
      <c r="C20" s="22">
        <v>100000</v>
      </c>
      <c r="D20" s="22">
        <v>100000</v>
      </c>
      <c r="E20" s="22">
        <v>100000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36">
        <f>SUM(B20:M20)</f>
      </c>
    </row>
    <row r="21" spans="1:14" x14ac:dyDescent="0.25">
      <c r="A21" s="9" t="s">
        <v>208</v>
      </c>
      <c r="B21" s="64">
        <f>B13*$B$6*$B$9</f>
      </c>
      <c r="C21" s="64">
        <f>C13*$B$6*$B$9</f>
      </c>
      <c r="D21" s="64">
        <f>D13*$B$6*$B$9</f>
      </c>
      <c r="E21" s="64">
        <f>E13*$B$6*$B$9</f>
      </c>
      <c r="F21" s="64">
        <f>F13*$B$6*$B$9</f>
      </c>
      <c r="G21" s="64">
        <f>G13*$B$6*$B$9</f>
      </c>
      <c r="H21" s="64">
        <f>H13*$B$6*$B$9</f>
      </c>
      <c r="I21" s="64">
        <f>I13*$B$6*$B$9</f>
      </c>
      <c r="J21" s="64">
        <f>J13*$B$6*$B$9</f>
      </c>
      <c r="K21" s="64">
        <f>K13*$B$6*$B$9</f>
      </c>
      <c r="L21" s="64">
        <f>L13*$B$6*$B$9</f>
      </c>
      <c r="M21" s="64">
        <f>M13*$B$6*$B$9</f>
      </c>
      <c r="N21" s="36">
        <f>SUM(B21:M21)</f>
      </c>
    </row>
    <row r="22" spans="1:14" x14ac:dyDescent="0.25">
      <c r="A22" s="32" t="s">
        <v>148</v>
      </c>
      <c r="B22" s="63">
        <f>B18+B19+B20+B21</f>
      </c>
      <c r="C22" s="63">
        <f>C18+C19+C20+C21</f>
      </c>
      <c r="D22" s="63">
        <f>D18+D19+D20+D21</f>
      </c>
      <c r="E22" s="63">
        <f>E18+E19+E20+E21</f>
      </c>
      <c r="F22" s="63">
        <f>F18+F19+F20+F21</f>
      </c>
      <c r="G22" s="63">
        <f>G18+G19+G20+G21</f>
      </c>
      <c r="H22" s="63">
        <f>H18+H19+H20+H21</f>
      </c>
      <c r="I22" s="63">
        <f>I18+I19+I20+I21</f>
      </c>
      <c r="J22" s="63">
        <f>J18+J19+J20+J21</f>
      </c>
      <c r="K22" s="63">
        <f>K18+K19+K20+K21</f>
      </c>
      <c r="L22" s="63">
        <f>L18+L19+L20+L21</f>
      </c>
      <c r="M22" s="63">
        <f>M18+M19+M20+M21</f>
      </c>
      <c r="N22" s="63">
        <f>SUM(B22:M22)</f>
      </c>
    </row>
    <row r="23" spans="1:14" x14ac:dyDescent="0.25">
      <c r="A23" s="5" t="s">
        <v>209</v>
      </c>
      <c r="B23" s="36">
        <f>B17-B22</f>
      </c>
      <c r="C23" s="36">
        <f>C17-C22</f>
      </c>
      <c r="D23" s="36">
        <f>D17-D22</f>
      </c>
      <c r="E23" s="36">
        <f>E17-E22</f>
      </c>
      <c r="F23" s="36">
        <f>F17-F22</f>
      </c>
      <c r="G23" s="36">
        <f>G17-G22</f>
      </c>
      <c r="H23" s="36">
        <f>H17-H22</f>
      </c>
      <c r="I23" s="36">
        <f>I17-I22</f>
      </c>
      <c r="J23" s="36">
        <f>J17-J22</f>
      </c>
      <c r="K23" s="36">
        <f>K17-K22</f>
      </c>
      <c r="L23" s="36">
        <f>L17-L22</f>
      </c>
      <c r="M23" s="36">
        <f>M17-M22</f>
      </c>
      <c r="N23" s="36">
        <f>SUM(B23:M23)</f>
      </c>
    </row>
    <row r="24" spans="1:14" x14ac:dyDescent="0.25">
      <c r="A24" s="32" t="s">
        <v>210</v>
      </c>
      <c r="B24" s="63">
        <f>B23</f>
      </c>
      <c r="C24" s="63">
        <f>B24+C23</f>
      </c>
      <c r="D24" s="63">
        <f>C24+D23</f>
      </c>
      <c r="E24" s="63">
        <f>D24+E23</f>
      </c>
      <c r="F24" s="63">
        <f>E24+F23</f>
      </c>
      <c r="G24" s="63">
        <f>F24+G23</f>
      </c>
      <c r="H24" s="63">
        <f>G24+H23</f>
      </c>
      <c r="I24" s="63">
        <f>H24+I23</f>
      </c>
      <c r="J24" s="63">
        <f>I24+J23</f>
      </c>
      <c r="K24" s="63">
        <f>J24+K23</f>
      </c>
      <c r="L24" s="63">
        <f>K24+L23</f>
      </c>
      <c r="M24" s="63">
        <f>L24+M23</f>
      </c>
      <c r="N24" s="30">
        <f>M24</f>
      </c>
    </row>
    <row r="26" ht="30" customHeight="1" spans="1:14" x14ac:dyDescent="0.25">
      <c r="A26" s="58" t="s">
        <v>211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</row>
  </sheetData>
  <mergeCells count="5">
    <mergeCell ref="A1:N1"/>
    <mergeCell ref="A2:N2"/>
    <mergeCell ref="A4:N4"/>
    <mergeCell ref="A11:N11"/>
    <mergeCell ref="A26:N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42" customWidth="1"/>
    <col min="3" max="3" width="34" customWidth="1"/>
    <col min="4" max="4" width="10" customWidth="1"/>
    <col min="5" max="5" width="14" customWidth="1"/>
    <col min="6" max="6" width="16" customWidth="1"/>
  </cols>
  <sheetData>
    <row r="1" ht="28" customHeight="1" spans="1:6" x14ac:dyDescent="0.25">
      <c r="A1" s="44" t="s">
        <v>212</v>
      </c>
      <c r="B1" s="44"/>
      <c r="C1" s="44"/>
      <c r="D1" s="44"/>
      <c r="E1" s="44"/>
      <c r="F1" s="44"/>
    </row>
    <row r="2" ht="24" customHeight="1" spans="1:6" x14ac:dyDescent="0.25">
      <c r="A2" s="2" t="s">
        <v>213</v>
      </c>
      <c r="B2" s="2"/>
      <c r="C2" s="2"/>
      <c r="D2" s="2"/>
      <c r="E2" s="2"/>
      <c r="F2" s="2"/>
    </row>
    <row r="4" spans="1:6" x14ac:dyDescent="0.25">
      <c r="A4" s="17" t="s">
        <v>214</v>
      </c>
      <c r="B4" s="17" t="s">
        <v>215</v>
      </c>
      <c r="C4" s="17" t="s">
        <v>216</v>
      </c>
      <c r="D4" s="17" t="s">
        <v>217</v>
      </c>
      <c r="E4" s="17" t="s">
        <v>218</v>
      </c>
      <c r="F4" s="17" t="s">
        <v>219</v>
      </c>
    </row>
    <row r="5" ht="20" customHeight="1" spans="1:6" x14ac:dyDescent="0.25">
      <c r="A5" s="67" t="s">
        <v>220</v>
      </c>
      <c r="B5" s="24" t="s">
        <v>221</v>
      </c>
      <c r="C5" s="68" t="s">
        <v>222</v>
      </c>
      <c r="D5" s="69" t="s">
        <v>223</v>
      </c>
      <c r="E5" s="70" t="s">
        <v>224</v>
      </c>
      <c r="F5" s="71" t="s">
        <v>3</v>
      </c>
    </row>
    <row r="6" ht="20" customHeight="1" spans="1:6" x14ac:dyDescent="0.25">
      <c r="A6" s="72" t="s">
        <v>220</v>
      </c>
      <c r="B6" s="19" t="s">
        <v>225</v>
      </c>
      <c r="C6" s="73" t="s">
        <v>226</v>
      </c>
      <c r="D6" s="74" t="s">
        <v>227</v>
      </c>
      <c r="E6" s="70" t="s">
        <v>224</v>
      </c>
      <c r="F6" s="71" t="s">
        <v>3</v>
      </c>
    </row>
    <row r="7" ht="20" customHeight="1" spans="1:6" x14ac:dyDescent="0.25">
      <c r="A7" s="67" t="s">
        <v>228</v>
      </c>
      <c r="B7" s="24" t="s">
        <v>229</v>
      </c>
      <c r="C7" s="68" t="s">
        <v>230</v>
      </c>
      <c r="D7" s="69" t="s">
        <v>231</v>
      </c>
      <c r="E7" s="70" t="s">
        <v>224</v>
      </c>
      <c r="F7" s="71" t="s">
        <v>3</v>
      </c>
    </row>
    <row r="8" ht="20" customHeight="1" spans="1:6" x14ac:dyDescent="0.25">
      <c r="A8" s="72" t="s">
        <v>232</v>
      </c>
      <c r="B8" s="19" t="s">
        <v>233</v>
      </c>
      <c r="C8" s="73" t="s">
        <v>234</v>
      </c>
      <c r="D8" s="74" t="s">
        <v>227</v>
      </c>
      <c r="E8" s="70" t="s">
        <v>224</v>
      </c>
      <c r="F8" s="71" t="s">
        <v>3</v>
      </c>
    </row>
    <row r="9" ht="20" customHeight="1" spans="1:6" x14ac:dyDescent="0.25">
      <c r="A9" s="67" t="s">
        <v>232</v>
      </c>
      <c r="B9" s="24" t="s">
        <v>235</v>
      </c>
      <c r="C9" s="68" t="s">
        <v>236</v>
      </c>
      <c r="D9" s="69" t="s">
        <v>237</v>
      </c>
      <c r="E9" s="70" t="s">
        <v>224</v>
      </c>
      <c r="F9" s="71" t="s">
        <v>3</v>
      </c>
    </row>
    <row r="10" ht="24" customHeight="1" spans="1:6" x14ac:dyDescent="0.25">
      <c r="A10" s="75" t="s">
        <v>238</v>
      </c>
      <c r="B10" s="76" t="s">
        <v>239</v>
      </c>
      <c r="C10" s="77" t="s">
        <v>240</v>
      </c>
      <c r="D10" s="78" t="s">
        <v>241</v>
      </c>
      <c r="E10" s="70" t="s">
        <v>224</v>
      </c>
      <c r="F10" s="71" t="s">
        <v>3</v>
      </c>
    </row>
    <row r="11" ht="20" customHeight="1" spans="1:6" x14ac:dyDescent="0.25">
      <c r="A11" s="67" t="s">
        <v>242</v>
      </c>
      <c r="B11" s="24" t="s">
        <v>243</v>
      </c>
      <c r="C11" s="68" t="s">
        <v>244</v>
      </c>
      <c r="D11" s="69" t="s">
        <v>237</v>
      </c>
      <c r="E11" s="70" t="s">
        <v>224</v>
      </c>
      <c r="F11" s="71" t="s">
        <v>3</v>
      </c>
    </row>
    <row r="12" ht="20" customHeight="1" spans="1:6" x14ac:dyDescent="0.25">
      <c r="A12" s="72" t="s">
        <v>242</v>
      </c>
      <c r="B12" s="19" t="s">
        <v>245</v>
      </c>
      <c r="C12" s="73" t="s">
        <v>246</v>
      </c>
      <c r="D12" s="74" t="s">
        <v>237</v>
      </c>
      <c r="E12" s="70" t="s">
        <v>224</v>
      </c>
      <c r="F12" s="71" t="s">
        <v>3</v>
      </c>
    </row>
    <row r="13" ht="20" customHeight="1" spans="1:6" x14ac:dyDescent="0.25">
      <c r="A13" s="67" t="s">
        <v>242</v>
      </c>
      <c r="B13" s="24" t="s">
        <v>247</v>
      </c>
      <c r="C13" s="68" t="s">
        <v>248</v>
      </c>
      <c r="D13" s="69" t="s">
        <v>249</v>
      </c>
      <c r="E13" s="70" t="s">
        <v>224</v>
      </c>
      <c r="F13" s="71" t="s">
        <v>3</v>
      </c>
    </row>
    <row r="14" ht="20" customHeight="1" spans="1:6" x14ac:dyDescent="0.25">
      <c r="A14" s="72" t="s">
        <v>250</v>
      </c>
      <c r="B14" s="19" t="s">
        <v>251</v>
      </c>
      <c r="C14" s="73" t="s">
        <v>252</v>
      </c>
      <c r="D14" s="74" t="s">
        <v>227</v>
      </c>
      <c r="E14" s="70" t="s">
        <v>224</v>
      </c>
      <c r="F14" s="71" t="s">
        <v>3</v>
      </c>
    </row>
    <row r="16" ht="16" customHeight="1" spans="1:6" x14ac:dyDescent="0.25">
      <c r="A16" s="79" t="s">
        <v>253</v>
      </c>
      <c r="B16" s="79"/>
      <c r="C16" s="79"/>
      <c r="D16" s="79"/>
      <c r="E16" s="79"/>
      <c r="F16" s="79"/>
    </row>
    <row r="17" spans="1:6" x14ac:dyDescent="0.25">
      <c r="A17" s="80" t="s">
        <v>254</v>
      </c>
      <c r="B17" s="81" t="s">
        <v>255</v>
      </c>
      <c r="C17" s="80" t="s">
        <v>256</v>
      </c>
      <c r="D17" s="80"/>
      <c r="E17" s="80"/>
      <c r="F17" s="80"/>
    </row>
    <row r="18" spans="1:6" x14ac:dyDescent="0.25">
      <c r="A18" s="80" t="s">
        <v>254</v>
      </c>
      <c r="B18" s="81" t="s">
        <v>257</v>
      </c>
      <c r="C18" s="80" t="s">
        <v>258</v>
      </c>
      <c r="D18" s="80"/>
      <c r="E18" s="80"/>
      <c r="F18" s="80"/>
    </row>
    <row r="19" spans="1:6" x14ac:dyDescent="0.25">
      <c r="A19" s="80" t="s">
        <v>254</v>
      </c>
      <c r="B19" s="81" t="s">
        <v>259</v>
      </c>
      <c r="C19" s="80" t="s">
        <v>260</v>
      </c>
      <c r="D19" s="80"/>
      <c r="E19" s="80"/>
      <c r="F19" s="80"/>
    </row>
  </sheetData>
  <mergeCells count="6">
    <mergeCell ref="A1:F1"/>
    <mergeCell ref="A2:F2"/>
    <mergeCell ref="A16:F16"/>
    <mergeCell ref="C17:F17"/>
    <mergeCell ref="C18:F18"/>
    <mergeCell ref="C19:F19"/>
  </mergeCells>
  <dataValidations count="2">
    <dataValidation type="list" allowBlank="1" sqref="E10:E14">
      <formula1>"Not started,In progress,Done,Blocked,N/A"</formula1>
    </dataValidation>
    <dataValidation type="list" allowBlank="1" sqref="E5:E14">
      <formula1>"Not started,In progress,Done,Blocked,N/A"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Cost Model</vt:lpstr>
      <vt:lpstr>Notes &amp; Assumptions</vt:lpstr>
      <vt:lpstr>Operating Cost &amp; Margin</vt:lpstr>
      <vt:lpstr>Portfolio (10 clients)</vt:lpstr>
      <vt:lpstr>Year-1 Cash View</vt:lpstr>
      <vt:lpstr>Engineering Roadmap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VIFM</dc:creator>
  <dc:title/>
  <dc:subject/>
  <dc:description/>
  <cp:keywords/>
  <cp:category/>
  <cp:lastModifiedBy>Unknown</cp:lastModifiedBy>
  <dcterms:created xsi:type="dcterms:W3CDTF">2026-06-26T01:12:39Z</dcterms:created>
  <dcterms:modified xsi:type="dcterms:W3CDTF">2026-06-26T01:12:39Z</dcterms:modified>
</cp:coreProperties>
</file>